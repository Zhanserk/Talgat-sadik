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аралық\"/>
    </mc:Choice>
  </mc:AlternateContent>
  <bookViews>
    <workbookView xWindow="-120" yWindow="-120" windowWidth="20736" windowHeight="11760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GJ14" i="4" l="1"/>
  <c r="DR23" i="2" l="1"/>
  <c r="DR24" i="2" s="1"/>
  <c r="DQ23" i="2"/>
  <c r="DQ24" i="2" s="1"/>
  <c r="DP23" i="2"/>
  <c r="DP24" i="2" s="1"/>
  <c r="DO23" i="2"/>
  <c r="DO24" i="2" s="1"/>
  <c r="DN23" i="2"/>
  <c r="DN24" i="2" s="1"/>
  <c r="DM23" i="2"/>
  <c r="DM24" i="2" s="1"/>
  <c r="DL23" i="2"/>
  <c r="DL24" i="2" s="1"/>
  <c r="DK23" i="2"/>
  <c r="DK24" i="2" s="1"/>
  <c r="DJ23" i="2"/>
  <c r="DJ24" i="2" s="1"/>
  <c r="DI23" i="2"/>
  <c r="DI24" i="2" s="1"/>
  <c r="DH23" i="2"/>
  <c r="DH24" i="2" s="1"/>
  <c r="DG23" i="2"/>
  <c r="DG24" i="2" s="1"/>
  <c r="DF23" i="2"/>
  <c r="DF24" i="2" s="1"/>
  <c r="DE23" i="2"/>
  <c r="DE24" i="2" s="1"/>
  <c r="DD23" i="2"/>
  <c r="DD24" i="2" s="1"/>
  <c r="DC23" i="2"/>
  <c r="DC24" i="2" s="1"/>
  <c r="DB23" i="2"/>
  <c r="DB24" i="2" s="1"/>
  <c r="DA23" i="2"/>
  <c r="DA24" i="2" s="1"/>
  <c r="CZ23" i="2"/>
  <c r="CZ24" i="2" s="1"/>
  <c r="CY23" i="2"/>
  <c r="CY24" i="2" s="1"/>
  <c r="CX23" i="2"/>
  <c r="CX24" i="2" s="1"/>
  <c r="CW23" i="2"/>
  <c r="CW24" i="2" s="1"/>
  <c r="CV23" i="2"/>
  <c r="CV24" i="2" s="1"/>
  <c r="CU23" i="2"/>
  <c r="CU24" i="2" s="1"/>
  <c r="CT23" i="2"/>
  <c r="CT24" i="2" s="1"/>
  <c r="CS23" i="2"/>
  <c r="CS24" i="2" s="1"/>
  <c r="CR23" i="2"/>
  <c r="CR24" i="2" s="1"/>
  <c r="CQ23" i="2"/>
  <c r="CQ24" i="2" s="1"/>
  <c r="CP23" i="2"/>
  <c r="CP24" i="2" s="1"/>
  <c r="CO23" i="2"/>
  <c r="CO24" i="2" s="1"/>
  <c r="CN23" i="2"/>
  <c r="CN24" i="2" s="1"/>
  <c r="CM23" i="2"/>
  <c r="CM24" i="2" s="1"/>
  <c r="CL23" i="2"/>
  <c r="CL24" i="2" s="1"/>
  <c r="CK23" i="2"/>
  <c r="CK24" i="2" s="1"/>
  <c r="CJ23" i="2"/>
  <c r="CJ24" i="2" s="1"/>
  <c r="CI23" i="2"/>
  <c r="CI24" i="2" s="1"/>
  <c r="CH23" i="2"/>
  <c r="CH24" i="2" s="1"/>
  <c r="CG23" i="2"/>
  <c r="CG24" i="2" s="1"/>
  <c r="CF23" i="2"/>
  <c r="CF24" i="2" s="1"/>
  <c r="CE23" i="2"/>
  <c r="CE24" i="2" s="1"/>
  <c r="CD23" i="2"/>
  <c r="CD24" i="2" s="1"/>
  <c r="CC23" i="2"/>
  <c r="CC24" i="2" s="1"/>
  <c r="CB23" i="2"/>
  <c r="CB24" i="2" s="1"/>
  <c r="CA23" i="2"/>
  <c r="CA24" i="2" s="1"/>
  <c r="BZ23" i="2"/>
  <c r="BZ24" i="2" s="1"/>
  <c r="BY23" i="2"/>
  <c r="BY24" i="2" s="1"/>
  <c r="BX23" i="2"/>
  <c r="BX24" i="2" s="1"/>
  <c r="BW23" i="2"/>
  <c r="BW24" i="2" s="1"/>
  <c r="BV23" i="2"/>
  <c r="BV24" i="2" s="1"/>
  <c r="BU23" i="2"/>
  <c r="BU24" i="2" s="1"/>
  <c r="BT23" i="2"/>
  <c r="BT24" i="2" s="1"/>
  <c r="BS23" i="2"/>
  <c r="BS24" i="2" s="1"/>
  <c r="BR23" i="2"/>
  <c r="BR24" i="2" s="1"/>
  <c r="BQ23" i="2"/>
  <c r="BQ24" i="2" s="1"/>
  <c r="BP23" i="2"/>
  <c r="BP24" i="2" s="1"/>
  <c r="BO23" i="2"/>
  <c r="BO24" i="2" s="1"/>
  <c r="BN23" i="2"/>
  <c r="BN24" i="2" s="1"/>
  <c r="BM23" i="2"/>
  <c r="BM24" i="2" s="1"/>
  <c r="BL23" i="2"/>
  <c r="BL24" i="2" s="1"/>
  <c r="BK23" i="2"/>
  <c r="BK24" i="2" s="1"/>
  <c r="BJ23" i="2"/>
  <c r="BJ24" i="2" s="1"/>
  <c r="BI23" i="2"/>
  <c r="BI24" i="2" s="1"/>
  <c r="BH23" i="2"/>
  <c r="BH24" i="2" s="1"/>
  <c r="BG23" i="2"/>
  <c r="BG24" i="2" s="1"/>
  <c r="BF23" i="2"/>
  <c r="BF24" i="2" s="1"/>
  <c r="BE23" i="2"/>
  <c r="BE24" i="2" s="1"/>
  <c r="BD23" i="2"/>
  <c r="BD24" i="2" s="1"/>
  <c r="BC23" i="2"/>
  <c r="BC24" i="2" s="1"/>
  <c r="BB23" i="2"/>
  <c r="BB24" i="2" s="1"/>
  <c r="BA23" i="2"/>
  <c r="BA24" i="2" s="1"/>
  <c r="AZ23" i="2"/>
  <c r="AZ24" i="2" s="1"/>
  <c r="AY23" i="2"/>
  <c r="AY24" i="2" s="1"/>
  <c r="AX23" i="2"/>
  <c r="AX24" i="2" s="1"/>
  <c r="AW23" i="2"/>
  <c r="AW24" i="2" s="1"/>
  <c r="AV23" i="2"/>
  <c r="AV24" i="2" s="1"/>
  <c r="AU23" i="2"/>
  <c r="AU24" i="2" s="1"/>
  <c r="AT23" i="2"/>
  <c r="AT24" i="2" s="1"/>
  <c r="AS23" i="2"/>
  <c r="AS24" i="2" s="1"/>
  <c r="AR23" i="2"/>
  <c r="AR24" i="2" s="1"/>
  <c r="AQ23" i="2"/>
  <c r="AQ24" i="2" s="1"/>
  <c r="AP23" i="2"/>
  <c r="AP24" i="2" s="1"/>
  <c r="AO23" i="2"/>
  <c r="AO24" i="2" s="1"/>
  <c r="AN23" i="2"/>
  <c r="AN24" i="2" s="1"/>
  <c r="AM23" i="2"/>
  <c r="AM24" i="2" s="1"/>
  <c r="AL23" i="2"/>
  <c r="AL24" i="2" s="1"/>
  <c r="AK23" i="2"/>
  <c r="AK24" i="2" s="1"/>
  <c r="AJ23" i="2"/>
  <c r="AJ24" i="2" s="1"/>
  <c r="AI23" i="2"/>
  <c r="AI24" i="2" s="1"/>
  <c r="AH23" i="2"/>
  <c r="AH24" i="2" s="1"/>
  <c r="AG23" i="2"/>
  <c r="AG24" i="2" s="1"/>
  <c r="AF23" i="2"/>
  <c r="AF24" i="2" s="1"/>
  <c r="AE23" i="2"/>
  <c r="AE24" i="2" s="1"/>
  <c r="AD23" i="2"/>
  <c r="AD24" i="2" s="1"/>
  <c r="AC23" i="2"/>
  <c r="AC24" i="2" s="1"/>
  <c r="AB23" i="2"/>
  <c r="AB24" i="2" s="1"/>
  <c r="AA23" i="2"/>
  <c r="AA24" i="2" s="1"/>
  <c r="Z23" i="2"/>
  <c r="Z24" i="2" s="1"/>
  <c r="Y23" i="2"/>
  <c r="Y24" i="2" s="1"/>
  <c r="X23" i="2"/>
  <c r="X24" i="2" s="1"/>
  <c r="W23" i="2"/>
  <c r="W24" i="2" s="1"/>
  <c r="V23" i="2"/>
  <c r="V24" i="2" s="1"/>
  <c r="U23" i="2"/>
  <c r="U24" i="2" s="1"/>
  <c r="T23" i="2"/>
  <c r="T24" i="2" s="1"/>
  <c r="S23" i="2"/>
  <c r="S24" i="2" s="1"/>
  <c r="R23" i="2"/>
  <c r="R24" i="2" s="1"/>
  <c r="Q23" i="2"/>
  <c r="Q24" i="2" s="1"/>
  <c r="P23" i="2"/>
  <c r="P24" i="2" s="1"/>
  <c r="O23" i="2"/>
  <c r="O24" i="2" s="1"/>
  <c r="N23" i="2"/>
  <c r="N24" i="2" s="1"/>
  <c r="M23" i="2"/>
  <c r="M24" i="2" s="1"/>
  <c r="L23" i="2"/>
  <c r="L24" i="2" s="1"/>
  <c r="K23" i="2"/>
  <c r="K24" i="2" s="1"/>
  <c r="J23" i="2"/>
  <c r="J24" i="2" s="1"/>
  <c r="I23" i="2"/>
  <c r="I24" i="2" s="1"/>
  <c r="H23" i="2"/>
  <c r="H24" i="2" s="1"/>
  <c r="G23" i="2"/>
  <c r="G24" i="2" s="1"/>
  <c r="F23" i="2"/>
  <c r="F24" i="2" s="1"/>
  <c r="E23" i="2"/>
  <c r="E24" i="2" s="1"/>
  <c r="D23" i="2"/>
  <c r="D24" i="2" s="1"/>
  <c r="C23" i="2"/>
  <c r="C24" i="2" s="1"/>
  <c r="E28" i="2" l="1"/>
  <c r="D28" i="2" s="1"/>
  <c r="E33" i="2"/>
  <c r="D33" i="2" s="1"/>
  <c r="G33" i="2"/>
  <c r="F33" i="2" s="1"/>
  <c r="E37" i="2"/>
  <c r="D37" i="2" s="1"/>
  <c r="E38" i="2"/>
  <c r="D38" i="2" s="1"/>
  <c r="E42" i="2"/>
  <c r="D42" i="2" s="1"/>
  <c r="G42" i="2"/>
  <c r="F42" i="2" s="1"/>
  <c r="I42" i="2"/>
  <c r="H42" i="2" s="1"/>
  <c r="I41" i="2"/>
  <c r="H41" i="2" s="1"/>
  <c r="K42" i="2"/>
  <c r="J42" i="2" s="1"/>
  <c r="M42" i="2"/>
  <c r="L42" i="2" s="1"/>
  <c r="M41" i="2"/>
  <c r="L41" i="2" s="1"/>
  <c r="E46" i="2"/>
  <c r="D46" i="2" s="1"/>
  <c r="E36" i="2"/>
  <c r="D36" i="2" s="1"/>
  <c r="E41" i="2"/>
  <c r="D41" i="2" s="1"/>
  <c r="E27" i="2"/>
  <c r="D27" i="2" s="1"/>
  <c r="E29" i="2"/>
  <c r="D29" i="2" s="1"/>
  <c r="E32" i="2"/>
  <c r="D32" i="2" s="1"/>
  <c r="E34" i="2"/>
  <c r="D34" i="2" s="1"/>
  <c r="G32" i="2"/>
  <c r="F32" i="2" s="1"/>
  <c r="G34" i="2"/>
  <c r="F34" i="2" s="1"/>
  <c r="G41" i="2"/>
  <c r="F41" i="2" s="1"/>
  <c r="K41" i="2"/>
  <c r="J41" i="2" s="1"/>
  <c r="E43" i="2"/>
  <c r="D43" i="2" s="1"/>
  <c r="G43" i="2"/>
  <c r="F43" i="2" s="1"/>
  <c r="I43" i="2"/>
  <c r="H43" i="2" s="1"/>
  <c r="K43" i="2"/>
  <c r="J43" i="2" s="1"/>
  <c r="M43" i="2"/>
  <c r="L43" i="2" s="1"/>
  <c r="E45" i="2"/>
  <c r="D45" i="2" s="1"/>
  <c r="E47" i="2"/>
  <c r="D47" i="2" s="1"/>
  <c r="L44" i="2" l="1"/>
  <c r="H44" i="2"/>
  <c r="E48" i="2"/>
  <c r="D48" i="2"/>
  <c r="K44" i="2"/>
  <c r="J44" i="2"/>
  <c r="E44" i="2"/>
  <c r="D44" i="2"/>
  <c r="G44" i="2"/>
  <c r="F44" i="2"/>
  <c r="F35" i="2"/>
  <c r="G35" i="2"/>
  <c r="D35" i="2"/>
  <c r="E35" i="2"/>
  <c r="D30" i="2"/>
  <c r="E30" i="2"/>
  <c r="M44" i="2"/>
  <c r="I44" i="2"/>
  <c r="D39" i="2"/>
  <c r="E39" i="2"/>
  <c r="BT27" i="4" l="1"/>
  <c r="BT28" i="4" s="1"/>
  <c r="BU27" i="4"/>
  <c r="BU28" i="4" s="1"/>
  <c r="BV27" i="4"/>
  <c r="BV28" i="4" s="1"/>
  <c r="D27" i="4" l="1"/>
  <c r="D28" i="4" s="1"/>
  <c r="E27" i="4"/>
  <c r="E28" i="4" s="1"/>
  <c r="F27" i="4"/>
  <c r="F28" i="4" s="1"/>
  <c r="G27" i="4"/>
  <c r="G28" i="4" s="1"/>
  <c r="H27" i="4"/>
  <c r="H28" i="4" s="1"/>
  <c r="I27" i="4"/>
  <c r="I28" i="4" s="1"/>
  <c r="J27" i="4"/>
  <c r="J28" i="4" s="1"/>
  <c r="K27" i="4"/>
  <c r="K28" i="4" s="1"/>
  <c r="L27" i="4"/>
  <c r="L28" i="4" s="1"/>
  <c r="M27" i="4"/>
  <c r="M28" i="4" s="1"/>
  <c r="N27" i="4"/>
  <c r="N28" i="4" s="1"/>
  <c r="O27" i="4"/>
  <c r="O28" i="4" s="1"/>
  <c r="P27" i="4"/>
  <c r="P28" i="4" s="1"/>
  <c r="Q27" i="4"/>
  <c r="Q28" i="4" s="1"/>
  <c r="R27" i="4"/>
  <c r="R28" i="4" s="1"/>
  <c r="S27" i="4"/>
  <c r="S28" i="4" s="1"/>
  <c r="T27" i="4"/>
  <c r="T28" i="4" s="1"/>
  <c r="U27" i="4"/>
  <c r="U28" i="4" s="1"/>
  <c r="V27" i="4"/>
  <c r="V28" i="4" s="1"/>
  <c r="W27" i="4"/>
  <c r="W28" i="4" s="1"/>
  <c r="Y27" i="4"/>
  <c r="Y28" i="4" s="1"/>
  <c r="Z27" i="4"/>
  <c r="Z28" i="4" s="1"/>
  <c r="AA27" i="4"/>
  <c r="AA28" i="4" s="1"/>
  <c r="AB27" i="4"/>
  <c r="AB28" i="4" s="1"/>
  <c r="AC27" i="4"/>
  <c r="AC28" i="4" s="1"/>
  <c r="AD27" i="4"/>
  <c r="AD28" i="4" s="1"/>
  <c r="AE27" i="4"/>
  <c r="AE28" i="4" s="1"/>
  <c r="AF27" i="4"/>
  <c r="AF28" i="4" s="1"/>
  <c r="AG27" i="4"/>
  <c r="AG28" i="4" s="1"/>
  <c r="AH27" i="4"/>
  <c r="AH28" i="4" s="1"/>
  <c r="AI27" i="4"/>
  <c r="AI28" i="4" s="1"/>
  <c r="AJ27" i="4"/>
  <c r="AJ28" i="4" s="1"/>
  <c r="AK27" i="4"/>
  <c r="AK28" i="4" s="1"/>
  <c r="AL27" i="4"/>
  <c r="AL28" i="4" s="1"/>
  <c r="AM27" i="4"/>
  <c r="AM28" i="4" s="1"/>
  <c r="AN27" i="4"/>
  <c r="AN28" i="4" s="1"/>
  <c r="AO27" i="4"/>
  <c r="AO28" i="4" s="1"/>
  <c r="AP27" i="4"/>
  <c r="AP28" i="4" s="1"/>
  <c r="AQ27" i="4"/>
  <c r="AQ28" i="4" s="1"/>
  <c r="AR27" i="4"/>
  <c r="AR28" i="4" s="1"/>
  <c r="AS27" i="4"/>
  <c r="AS28" i="4" s="1"/>
  <c r="AT27" i="4"/>
  <c r="AT28" i="4" s="1"/>
  <c r="AU27" i="4"/>
  <c r="AU28" i="4" s="1"/>
  <c r="AV27" i="4"/>
  <c r="AV28" i="4" s="1"/>
  <c r="AW27" i="4"/>
  <c r="AW28" i="4" s="1"/>
  <c r="AX27" i="4"/>
  <c r="AX28" i="4" s="1"/>
  <c r="AY27" i="4"/>
  <c r="AY28" i="4" s="1"/>
  <c r="AZ27" i="4"/>
  <c r="AZ28" i="4" s="1"/>
  <c r="BA27" i="4"/>
  <c r="BA28" i="4" s="1"/>
  <c r="BB27" i="4"/>
  <c r="BB28" i="4" s="1"/>
  <c r="BC27" i="4"/>
  <c r="BC28" i="4" s="1"/>
  <c r="BD27" i="4"/>
  <c r="BD28" i="4" s="1"/>
  <c r="BE27" i="4"/>
  <c r="BE28" i="4" s="1"/>
  <c r="BF27" i="4"/>
  <c r="BF28" i="4" s="1"/>
  <c r="BG27" i="4"/>
  <c r="BG28" i="4" s="1"/>
  <c r="BH27" i="4"/>
  <c r="BH28" i="4" s="1"/>
  <c r="BI27" i="4"/>
  <c r="BI28" i="4" s="1"/>
  <c r="BJ27" i="4"/>
  <c r="BJ28" i="4" s="1"/>
  <c r="BK27" i="4"/>
  <c r="BK28" i="4" s="1"/>
  <c r="BL27" i="4"/>
  <c r="BL28" i="4" s="1"/>
  <c r="BM27" i="4"/>
  <c r="BM28" i="4" s="1"/>
  <c r="BN27" i="4"/>
  <c r="BN28" i="4" s="1"/>
  <c r="BO27" i="4"/>
  <c r="BO28" i="4" s="1"/>
  <c r="BP27" i="4"/>
  <c r="BP28" i="4" s="1"/>
  <c r="BQ27" i="4"/>
  <c r="BQ28" i="4" s="1"/>
  <c r="BR27" i="4"/>
  <c r="BR28" i="4" s="1"/>
  <c r="BS27" i="4"/>
  <c r="BS28" i="4" s="1"/>
  <c r="BW27" i="4"/>
  <c r="BW28" i="4" s="1"/>
  <c r="BX27" i="4"/>
  <c r="BX28" i="4" s="1"/>
  <c r="BY27" i="4"/>
  <c r="BY28" i="4" s="1"/>
  <c r="BZ27" i="4"/>
  <c r="BZ28" i="4" s="1"/>
  <c r="CA27" i="4"/>
  <c r="CA28" i="4" s="1"/>
  <c r="CB27" i="4"/>
  <c r="CB28" i="4" s="1"/>
  <c r="CC27" i="4"/>
  <c r="CC28" i="4" s="1"/>
  <c r="CD27" i="4"/>
  <c r="CD28" i="4" s="1"/>
  <c r="CE27" i="4"/>
  <c r="CE28" i="4" s="1"/>
  <c r="CF27" i="4"/>
  <c r="CF28" i="4" s="1"/>
  <c r="CG27" i="4"/>
  <c r="CG28" i="4" s="1"/>
  <c r="CH27" i="4"/>
  <c r="CH28" i="4" s="1"/>
  <c r="CI27" i="4"/>
  <c r="CI28" i="4" s="1"/>
  <c r="CJ27" i="4"/>
  <c r="CJ28" i="4" s="1"/>
  <c r="CK27" i="4"/>
  <c r="CK28" i="4" s="1"/>
  <c r="CL27" i="4"/>
  <c r="CL28" i="4" s="1"/>
  <c r="CM27" i="4"/>
  <c r="CM28" i="4" s="1"/>
  <c r="CN27" i="4"/>
  <c r="CN28" i="4" s="1"/>
  <c r="CO27" i="4"/>
  <c r="CO28" i="4" s="1"/>
  <c r="CP27" i="4"/>
  <c r="CP28" i="4" s="1"/>
  <c r="CQ27" i="4"/>
  <c r="CQ28" i="4" s="1"/>
  <c r="CR27" i="4"/>
  <c r="CR28" i="4" s="1"/>
  <c r="CS27" i="4"/>
  <c r="CS28" i="4" s="1"/>
  <c r="CT27" i="4"/>
  <c r="CT28" i="4" s="1"/>
  <c r="CU27" i="4"/>
  <c r="CU28" i="4" s="1"/>
  <c r="CV27" i="4"/>
  <c r="CV28" i="4" s="1"/>
  <c r="CW27" i="4"/>
  <c r="CW28" i="4" s="1"/>
  <c r="CX27" i="4"/>
  <c r="CX28" i="4" s="1"/>
  <c r="CY27" i="4"/>
  <c r="CY28" i="4" s="1"/>
  <c r="CZ27" i="4"/>
  <c r="CZ28" i="4" s="1"/>
  <c r="DA27" i="4"/>
  <c r="DA28" i="4" s="1"/>
  <c r="DB27" i="4"/>
  <c r="DB28" i="4" s="1"/>
  <c r="DC27" i="4"/>
  <c r="DC28" i="4" s="1"/>
  <c r="DD27" i="4"/>
  <c r="DD28" i="4" s="1"/>
  <c r="DE27" i="4"/>
  <c r="DE28" i="4" s="1"/>
  <c r="DF27" i="4"/>
  <c r="DF28" i="4" s="1"/>
  <c r="DG27" i="4"/>
  <c r="DG28" i="4" s="1"/>
  <c r="DH27" i="4"/>
  <c r="DH28" i="4" s="1"/>
  <c r="DI27" i="4"/>
  <c r="DI28" i="4" s="1"/>
  <c r="DJ27" i="4"/>
  <c r="DJ28" i="4" s="1"/>
  <c r="DK27" i="4"/>
  <c r="DK28" i="4" s="1"/>
  <c r="DL27" i="4"/>
  <c r="DL28" i="4" s="1"/>
  <c r="DM27" i="4"/>
  <c r="DM28" i="4" s="1"/>
  <c r="DN27" i="4"/>
  <c r="DN28" i="4" s="1"/>
  <c r="DO27" i="4"/>
  <c r="DO28" i="4" s="1"/>
  <c r="DP27" i="4"/>
  <c r="DP28" i="4" s="1"/>
  <c r="DQ27" i="4"/>
  <c r="DQ28" i="4" s="1"/>
  <c r="DR27" i="4"/>
  <c r="DR28" i="4" s="1"/>
  <c r="DS27" i="4"/>
  <c r="DS28" i="4" s="1"/>
  <c r="DT27" i="4"/>
  <c r="DT28" i="4" s="1"/>
  <c r="DU27" i="4"/>
  <c r="DU28" i="4" s="1"/>
  <c r="DV27" i="4"/>
  <c r="DV28" i="4" s="1"/>
  <c r="DW27" i="4"/>
  <c r="DW28" i="4" s="1"/>
  <c r="DX27" i="4"/>
  <c r="DX28" i="4" s="1"/>
  <c r="DY27" i="4"/>
  <c r="DY28" i="4" s="1"/>
  <c r="DZ27" i="4"/>
  <c r="DZ28" i="4" s="1"/>
  <c r="EA27" i="4"/>
  <c r="EA28" i="4" s="1"/>
  <c r="EB27" i="4"/>
  <c r="EB28" i="4" s="1"/>
  <c r="EC27" i="4"/>
  <c r="EC28" i="4" s="1"/>
  <c r="ED27" i="4"/>
  <c r="ED28" i="4" s="1"/>
  <c r="EE27" i="4"/>
  <c r="EE28" i="4" s="1"/>
  <c r="EF27" i="4"/>
  <c r="EF28" i="4" s="1"/>
  <c r="EG27" i="4"/>
  <c r="EG28" i="4" s="1"/>
  <c r="EH27" i="4"/>
  <c r="EH28" i="4" s="1"/>
  <c r="EI27" i="4"/>
  <c r="EI28" i="4" s="1"/>
  <c r="EJ27" i="4"/>
  <c r="EJ28" i="4" s="1"/>
  <c r="EK27" i="4"/>
  <c r="EK28" i="4" s="1"/>
  <c r="EL27" i="4"/>
  <c r="EL28" i="4" s="1"/>
  <c r="EM27" i="4"/>
  <c r="EM28" i="4" s="1"/>
  <c r="EN27" i="4"/>
  <c r="EN28" i="4" s="1"/>
  <c r="EO27" i="4"/>
  <c r="EO28" i="4" s="1"/>
  <c r="EP27" i="4"/>
  <c r="EP28" i="4" s="1"/>
  <c r="EQ27" i="4"/>
  <c r="EQ28" i="4" s="1"/>
  <c r="ER27" i="4"/>
  <c r="ER28" i="4" s="1"/>
  <c r="ES27" i="4"/>
  <c r="ES28" i="4" s="1"/>
  <c r="ET27" i="4"/>
  <c r="ET28" i="4" s="1"/>
  <c r="EU27" i="4"/>
  <c r="EU28" i="4" s="1"/>
  <c r="EV27" i="4"/>
  <c r="EV28" i="4" s="1"/>
  <c r="EW27" i="4"/>
  <c r="EW28" i="4" s="1"/>
  <c r="EX27" i="4"/>
  <c r="EX28" i="4" s="1"/>
  <c r="EY27" i="4"/>
  <c r="EY28" i="4" s="1"/>
  <c r="EZ27" i="4"/>
  <c r="EZ28" i="4" s="1"/>
  <c r="FA27" i="4"/>
  <c r="FA28" i="4" s="1"/>
  <c r="FB27" i="4"/>
  <c r="FB28" i="4" s="1"/>
  <c r="FC27" i="4"/>
  <c r="FC28" i="4" s="1"/>
  <c r="FD27" i="4"/>
  <c r="FD28" i="4" s="1"/>
  <c r="FE27" i="4"/>
  <c r="FE28" i="4" s="1"/>
  <c r="FF27" i="4"/>
  <c r="FF28" i="4" s="1"/>
  <c r="FG27" i="4"/>
  <c r="FG28" i="4" s="1"/>
  <c r="FH27" i="4"/>
  <c r="FH28" i="4" s="1"/>
  <c r="FI27" i="4"/>
  <c r="FI28" i="4" s="1"/>
  <c r="FJ27" i="4"/>
  <c r="FJ28" i="4" s="1"/>
  <c r="FK27" i="4"/>
  <c r="FK28" i="4" s="1"/>
  <c r="FL27" i="4"/>
  <c r="FL28" i="4" s="1"/>
  <c r="FM27" i="4"/>
  <c r="FM28" i="4" s="1"/>
  <c r="FN27" i="4"/>
  <c r="FN28" i="4" s="1"/>
  <c r="FO27" i="4"/>
  <c r="FO28" i="4" s="1"/>
  <c r="FP27" i="4"/>
  <c r="FP28" i="4" s="1"/>
  <c r="FQ27" i="4"/>
  <c r="FQ28" i="4" s="1"/>
  <c r="FR27" i="4"/>
  <c r="FR28" i="4" s="1"/>
  <c r="FS27" i="4"/>
  <c r="FS28" i="4" s="1"/>
  <c r="FT27" i="4"/>
  <c r="FT28" i="4" s="1"/>
  <c r="FV27" i="4"/>
  <c r="FV28" i="4" s="1"/>
  <c r="FW27" i="4"/>
  <c r="FW28" i="4" s="1"/>
  <c r="FX27" i="4"/>
  <c r="FX28" i="4" s="1"/>
  <c r="FY27" i="4"/>
  <c r="FY28" i="4" s="1"/>
  <c r="FZ27" i="4"/>
  <c r="FZ28" i="4" s="1"/>
  <c r="GA27" i="4"/>
  <c r="GA28" i="4" s="1"/>
  <c r="GB27" i="4"/>
  <c r="GB28" i="4" s="1"/>
  <c r="GC27" i="4"/>
  <c r="GC28" i="4" s="1"/>
  <c r="GD27" i="4"/>
  <c r="GD28" i="4" s="1"/>
  <c r="GE27" i="4"/>
  <c r="GE28" i="4" s="1"/>
  <c r="GF27" i="4"/>
  <c r="GF28" i="4" s="1"/>
  <c r="GG27" i="4"/>
  <c r="GG28" i="4" s="1"/>
  <c r="GH27" i="4"/>
  <c r="GH28" i="4" s="1"/>
  <c r="GI27" i="4"/>
  <c r="GI28" i="4" s="1"/>
  <c r="GJ27" i="4"/>
  <c r="GJ28" i="4" s="1"/>
  <c r="GK27" i="4"/>
  <c r="GK28" i="4" s="1"/>
  <c r="GL27" i="4"/>
  <c r="GL28" i="4" s="1"/>
  <c r="GM27" i="4"/>
  <c r="GM28" i="4" s="1"/>
  <c r="GN27" i="4"/>
  <c r="GN28" i="4" s="1"/>
  <c r="GO27" i="4"/>
  <c r="GO28" i="4" s="1"/>
  <c r="GP27" i="4"/>
  <c r="GP28" i="4" s="1"/>
  <c r="GQ27" i="4"/>
  <c r="GQ28" i="4" s="1"/>
  <c r="GR27" i="4"/>
  <c r="GR28" i="4" s="1"/>
  <c r="C27" i="4"/>
  <c r="C28" i="4" s="1"/>
  <c r="E49" i="4" l="1"/>
  <c r="D49" i="4" s="1"/>
  <c r="E51" i="4"/>
  <c r="D51" i="4" s="1"/>
  <c r="E50" i="4"/>
  <c r="D50" i="4" s="1"/>
  <c r="M46" i="4"/>
  <c r="L46" i="4" s="1"/>
  <c r="M47" i="4"/>
  <c r="L47" i="4" s="1"/>
  <c r="K45" i="4"/>
  <c r="J45" i="4" s="1"/>
  <c r="K46" i="4"/>
  <c r="J46" i="4" s="1"/>
  <c r="K47" i="4"/>
  <c r="J47" i="4" s="1"/>
  <c r="I45" i="4"/>
  <c r="H45" i="4" s="1"/>
  <c r="I46" i="4"/>
  <c r="H46" i="4" s="1"/>
  <c r="I47" i="4"/>
  <c r="H47" i="4" s="1"/>
  <c r="G45" i="4"/>
  <c r="F45" i="4" s="1"/>
  <c r="G46" i="4"/>
  <c r="F46" i="4" s="1"/>
  <c r="G47" i="4"/>
  <c r="F47" i="4" s="1"/>
  <c r="E45" i="4"/>
  <c r="D45" i="4" s="1"/>
  <c r="E46" i="4"/>
  <c r="D46" i="4" s="1"/>
  <c r="E47" i="4"/>
  <c r="D47" i="4" s="1"/>
  <c r="E40" i="4"/>
  <c r="D40" i="4" s="1"/>
  <c r="E41" i="4"/>
  <c r="D41" i="4" s="1"/>
  <c r="E42" i="4"/>
  <c r="D42" i="4" s="1"/>
  <c r="I36" i="4"/>
  <c r="H36" i="4" s="1"/>
  <c r="I37" i="4"/>
  <c r="H37" i="4" s="1"/>
  <c r="I38" i="4"/>
  <c r="H38" i="4" s="1"/>
  <c r="G36" i="4"/>
  <c r="F36" i="4" s="1"/>
  <c r="G37" i="4"/>
  <c r="F37" i="4" s="1"/>
  <c r="G38" i="4"/>
  <c r="F38" i="4" s="1"/>
  <c r="E37" i="4"/>
  <c r="D37" i="4" s="1"/>
  <c r="E38" i="4"/>
  <c r="D38" i="4" s="1"/>
  <c r="E31" i="4"/>
  <c r="D31" i="4" s="1"/>
  <c r="E32" i="4"/>
  <c r="D32" i="4" s="1"/>
  <c r="E33" i="4"/>
  <c r="D33" i="4" s="1"/>
  <c r="D52" i="4" l="1"/>
  <c r="E52" i="4"/>
  <c r="J48" i="4"/>
  <c r="K48" i="4"/>
  <c r="H48" i="4"/>
  <c r="I48" i="4"/>
  <c r="F48" i="4"/>
  <c r="G48" i="4"/>
  <c r="D48" i="4"/>
  <c r="E48" i="4"/>
  <c r="D43" i="4"/>
  <c r="E43" i="4"/>
  <c r="H39" i="4"/>
  <c r="I39" i="4"/>
  <c r="F39" i="4"/>
  <c r="G39" i="4"/>
  <c r="D34" i="4"/>
  <c r="E34" i="4"/>
  <c r="X27" i="4"/>
  <c r="X28" i="4" l="1"/>
  <c r="E36" i="4" s="1"/>
  <c r="FU27" i="4"/>
  <c r="D36" i="4" l="1"/>
  <c r="D39" i="4" s="1"/>
  <c r="E39" i="4"/>
  <c r="FU28" i="4"/>
  <c r="M45" i="4" s="1"/>
  <c r="L45" i="4" l="1"/>
  <c r="L48" i="4" s="1"/>
  <c r="M48" i="4"/>
</calcChain>
</file>

<file path=xl/sharedStrings.xml><?xml version="1.0" encoding="utf-8"?>
<sst xmlns="http://schemas.openxmlformats.org/spreadsheetml/2006/main" count="673" uniqueCount="559">
  <si>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</si>
  <si>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</si>
  <si>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</si>
  <si>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</si>
  <si>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</si>
  <si>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</si>
  <si>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</si>
  <si>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</si>
  <si>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</si>
  <si>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</si>
  <si>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</si>
  <si>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</si>
  <si>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</si>
  <si>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жүруге талпынбайды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</si>
  <si>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</si>
  <si>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жеткізуге тырысады</t>
  </si>
  <si>
    <t>жауап береді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</si>
  <si>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</si>
  <si>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</si>
  <si>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</si>
  <si>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</si>
  <si>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</si>
  <si>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қолдана алады</t>
  </si>
  <si>
    <t>Балалардың шығармашылық дағдыларын, зерттеу іс-әрекетін дамыту</t>
  </si>
  <si>
    <t>Мүсіндеу</t>
  </si>
  <si>
    <t>Музыка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</si>
  <si>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</si>
  <si>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</si>
  <si>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біледі</t>
  </si>
  <si>
    <t xml:space="preserve">                                  </t>
  </si>
  <si>
    <t>Сурет салу</t>
  </si>
  <si>
    <t>Жапсыру</t>
  </si>
  <si>
    <t>Құрастыру</t>
  </si>
  <si>
    <t xml:space="preserve"> қызығушылық танытпайды</t>
  </si>
  <si>
    <t>қолданады</t>
  </si>
  <si>
    <t>анық айта алмайды</t>
  </si>
  <si>
    <t>білмейді</t>
  </si>
  <si>
    <t>ішінара қолданады</t>
  </si>
  <si>
    <t>қолданбайды</t>
  </si>
  <si>
    <t>қайталап айтады</t>
  </si>
  <si>
    <t>салыстырады</t>
  </si>
  <si>
    <t>ішінара салыстырады</t>
  </si>
  <si>
    <t>салыстыра алмайды</t>
  </si>
  <si>
    <t>салады</t>
  </si>
  <si>
    <t>сала алмайды</t>
  </si>
  <si>
    <t>зерттеуге талпынбайды</t>
  </si>
  <si>
    <t>құрастырады</t>
  </si>
  <si>
    <t>құрастыруға талпынбайды</t>
  </si>
  <si>
    <t>ішінара құрастырады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</si>
  <si>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</si>
  <si>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</si>
  <si>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</si>
  <si>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</si>
  <si>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</si>
  <si>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</si>
  <si>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</si>
  <si>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</si>
  <si>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</si>
  <si>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</si>
  <si>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</si>
  <si>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</si>
  <si>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</si>
  <si>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</si>
  <si>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</si>
  <si>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</si>
  <si>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</si>
  <si>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</si>
  <si>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</si>
  <si>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</si>
  <si>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</si>
  <si>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</si>
  <si>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</si>
  <si>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</si>
  <si>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</si>
  <si>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</si>
  <si>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</si>
  <si>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</si>
  <si>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</si>
  <si>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</si>
  <si>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</si>
  <si>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</si>
  <si>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</si>
  <si>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</si>
  <si>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</si>
  <si>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</si>
  <si>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</si>
  <si>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</si>
  <si>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</si>
  <si>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</si>
  <si>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</si>
  <si>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</si>
  <si>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</si>
  <si>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</si>
  <si>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</si>
  <si>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</si>
  <si>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</si>
  <si>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</si>
  <si>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</si>
  <si>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</si>
  <si>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</si>
  <si>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</si>
  <si>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</si>
  <si>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</si>
  <si>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</si>
  <si>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</si>
  <si>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</si>
  <si>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</si>
  <si>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</si>
  <si>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</si>
  <si>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</si>
  <si>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</si>
  <si>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</si>
  <si>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</si>
  <si>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</si>
  <si>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</si>
  <si>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</si>
  <si>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</si>
  <si>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</si>
  <si>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</si>
  <si>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</si>
  <si>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</si>
  <si>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</si>
  <si>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</si>
  <si>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</si>
  <si>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</si>
  <si>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</si>
  <si>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</si>
  <si>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</si>
  <si>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</si>
  <si>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</si>
  <si>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</si>
  <si>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</si>
  <si>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</si>
  <si>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</si>
  <si>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</si>
  <si>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</si>
  <si>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</si>
  <si>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</si>
  <si>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</si>
  <si>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</si>
  <si>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</si>
  <si>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</si>
  <si>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</si>
  <si>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</si>
  <si>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</si>
  <si>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</si>
  <si>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</si>
  <si>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</si>
  <si>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</si>
  <si>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</si>
  <si>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</si>
  <si>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</si>
  <si>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</si>
  <si>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</si>
  <si>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</si>
  <si>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</si>
  <si>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</si>
  <si>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</si>
  <si>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</si>
  <si>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</si>
  <si>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</si>
  <si>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</si>
  <si>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</si>
  <si>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</si>
  <si>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</si>
  <si>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</si>
  <si>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</si>
  <si>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</si>
  <si>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</si>
  <si>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</si>
  <si>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</si>
  <si>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</si>
  <si>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</si>
  <si>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</si>
  <si>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</si>
  <si>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</si>
  <si>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</si>
  <si>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</si>
  <si>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</si>
  <si>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</si>
  <si>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</si>
  <si>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</si>
  <si>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</si>
  <si>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</si>
  <si>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</si>
  <si>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</si>
  <si>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</si>
  <si>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</si>
  <si>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</si>
  <si>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</si>
  <si>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</si>
  <si>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</si>
  <si>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</si>
  <si>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</si>
  <si>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</si>
  <si>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</si>
  <si>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</si>
  <si>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</si>
  <si>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</si>
  <si>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</si>
  <si>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</si>
  <si>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</si>
  <si>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</si>
  <si>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</si>
  <si>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</si>
  <si>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</si>
  <si>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</si>
  <si>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</si>
  <si>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</si>
  <si>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</si>
  <si>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</si>
  <si>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</si>
  <si>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</si>
  <si>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</si>
  <si>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</si>
  <si>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</si>
  <si>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</si>
  <si>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</si>
  <si>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</si>
  <si>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</si>
  <si>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</si>
  <si>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</si>
  <si>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</si>
  <si>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</si>
  <si>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</si>
  <si>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</si>
  <si>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</si>
  <si>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</si>
  <si>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</si>
  <si>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</si>
  <si>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</si>
  <si>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</si>
  <si>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</si>
  <si>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</si>
  <si>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</si>
  <si>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</si>
  <si>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</si>
  <si>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</si>
  <si>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</si>
  <si>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</si>
  <si>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</si>
  <si>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</si>
  <si>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</si>
  <si>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</si>
  <si>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4-Ф</t>
  </si>
  <si>
    <t>4-К</t>
  </si>
  <si>
    <t>4-Т</t>
  </si>
  <si>
    <t>4-Ш</t>
  </si>
  <si>
    <t>4-Ә</t>
  </si>
  <si>
    <t>ересек топ</t>
  </si>
  <si>
    <t>құрастыруға тырысады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</si>
  <si>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</si>
  <si>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</si>
  <si>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</si>
  <si>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</si>
  <si>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</si>
  <si>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</si>
  <si>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</si>
  <si>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</si>
  <si>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</si>
  <si>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</si>
  <si>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</si>
  <si>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</si>
  <si>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</si>
  <si>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</si>
  <si>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</si>
  <si>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</si>
  <si>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</si>
  <si>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</si>
  <si>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</si>
  <si>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</si>
  <si>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</si>
  <si>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</si>
  <si>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</si>
  <si>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</si>
  <si>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</si>
  <si>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</si>
  <si>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</si>
  <si>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</si>
  <si>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</si>
  <si>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</si>
  <si>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</si>
  <si>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</si>
  <si>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</si>
  <si>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</si>
  <si>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</si>
  <si>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</si>
  <si>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</si>
  <si>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</si>
  <si>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</si>
  <si>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</si>
  <si>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</si>
  <si>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</si>
  <si>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</si>
  <si>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</si>
  <si>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</si>
  <si>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</si>
  <si>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</si>
  <si>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</si>
  <si>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</si>
  <si>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</si>
  <si>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</si>
  <si>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</si>
  <si>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</si>
  <si>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</si>
  <si>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</si>
  <si>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</si>
  <si>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</si>
  <si>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</si>
  <si>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</si>
  <si>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</si>
  <si>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</si>
  <si>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</si>
  <si>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</si>
  <si>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</si>
  <si>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</si>
  <si>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</si>
  <si>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</si>
  <si>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</si>
  <si>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</si>
  <si>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</si>
  <si>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</si>
  <si>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</si>
  <si>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</si>
  <si>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</si>
  <si>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</si>
  <si>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</si>
  <si>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</si>
  <si>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</si>
  <si>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</si>
  <si>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</si>
  <si>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</si>
  <si>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</si>
  <si>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</si>
  <si>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</si>
  <si>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</si>
  <si>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</si>
  <si>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</si>
  <si>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</si>
  <si>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</si>
  <si>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</si>
  <si>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</si>
  <si>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</si>
  <si>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</si>
  <si>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</si>
  <si>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</si>
  <si>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</si>
  <si>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</si>
  <si>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</si>
  <si>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</si>
  <si>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</si>
  <si>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</si>
  <si>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</si>
  <si>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</si>
  <si>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</si>
  <si>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</si>
  <si>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</si>
  <si>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</si>
  <si>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</si>
  <si>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</si>
  <si>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</si>
  <si>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</si>
  <si>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</si>
  <si>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</si>
  <si>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</si>
  <si>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</si>
  <si>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</si>
  <si>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</si>
  <si>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</si>
  <si>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</si>
  <si>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</si>
  <si>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</si>
  <si>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Кіші жас тобына арналған (2 жастағы балалар) бақылау парағы</t>
  </si>
  <si>
    <t>Сенсорика</t>
  </si>
  <si>
    <t>2-Ф.1</t>
  </si>
  <si>
    <t>2-Ф.2</t>
  </si>
  <si>
    <t>2-Ф.3</t>
  </si>
  <si>
    <t>2-Ф.4</t>
  </si>
  <si>
    <t>2-К. 1</t>
  </si>
  <si>
    <t>2- К.3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</si>
  <si>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</si>
  <si>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</si>
  <si>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</si>
  <si>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</si>
  <si>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</si>
  <si>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</si>
  <si>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</si>
  <si>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</si>
  <si>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</si>
  <si>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</si>
  <si>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</si>
  <si>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</si>
  <si>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</si>
  <si>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</si>
  <si>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</si>
  <si>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</si>
  <si>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</si>
  <si>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</si>
  <si>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</si>
  <si>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</si>
  <si>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</si>
  <si>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</si>
  <si>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</si>
  <si>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</si>
  <si>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</si>
  <si>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</si>
  <si>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</si>
  <si>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</si>
  <si>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</si>
  <si>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</si>
  <si>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</si>
  <si>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</si>
  <si>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</si>
  <si>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</si>
  <si>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</si>
  <si>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</si>
  <si>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</si>
  <si>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</si>
  <si>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</si>
  <si>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</si>
  <si>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</si>
  <si>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</si>
  <si>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</si>
  <si>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</si>
  <si>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</si>
  <si>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</si>
  <si>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</si>
  <si>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</si>
  <si>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</si>
  <si>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</si>
  <si>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</si>
  <si>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</si>
  <si>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</si>
  <si>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</si>
  <si>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</si>
  <si>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</si>
  <si>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</si>
  <si>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</si>
  <si>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</si>
  <si>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</si>
  <si>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</si>
  <si>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</si>
  <si>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</si>
  <si>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</si>
  <si>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</si>
  <si>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</si>
  <si>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</si>
  <si>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</si>
  <si>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</si>
  <si>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</si>
  <si>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</si>
  <si>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</si>
  <si>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</si>
  <si>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</si>
  <si>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</si>
  <si>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</si>
  <si>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</si>
  <si>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</si>
  <si>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</si>
  <si>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</si>
  <si>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</si>
  <si>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</si>
  <si>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</si>
  <si>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айтуға талпынады</t>
  </si>
  <si>
    <t>айтпайды</t>
  </si>
  <si>
    <t xml:space="preserve"> айтады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</si>
  <si>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</si>
  <si>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</si>
  <si>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</si>
  <si>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</si>
  <si>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</si>
  <si>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</si>
  <si>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</si>
  <si>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</si>
  <si>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</si>
  <si>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</si>
  <si>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</si>
  <si>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</si>
  <si>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</si>
  <si>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</si>
  <si>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</si>
  <si>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</si>
  <si>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</si>
  <si>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</si>
  <si>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</si>
  <si>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</si>
  <si>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</si>
  <si>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</si>
  <si>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</si>
  <si>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</si>
  <si>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</si>
  <si>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тырысады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</si>
  <si>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</si>
  <si>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</si>
  <si>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</si>
  <si>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</si>
  <si>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</si>
  <si>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</si>
  <si>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</si>
  <si>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</si>
  <si>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</si>
  <si>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</si>
  <si>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</si>
  <si>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ішінара біледі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</si>
  <si>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</si>
  <si>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</si>
  <si>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</si>
  <si>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</si>
  <si>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</si>
  <si>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</si>
  <si>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</si>
  <si>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</si>
  <si>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</si>
  <si>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</si>
  <si>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</si>
  <si>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</si>
  <si>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</si>
  <si>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</si>
  <si>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</si>
  <si>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</si>
  <si>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</si>
  <si>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</si>
  <si>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</si>
  <si>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</si>
  <si>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</si>
  <si>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</si>
  <si>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</si>
  <si>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</si>
  <si>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</si>
  <si>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</si>
  <si>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</si>
  <si>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</si>
  <si>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</si>
  <si>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</si>
  <si>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</si>
  <si>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</si>
  <si>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</si>
  <si>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</si>
  <si>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</si>
  <si>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</si>
  <si>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</si>
  <si>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</si>
  <si>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</si>
  <si>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</si>
  <si>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</si>
  <si>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</si>
  <si>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</si>
  <si>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</si>
  <si>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</si>
  <si>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</si>
  <si>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</si>
  <si>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</si>
  <si>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</si>
  <si>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</si>
  <si>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>Дене тәрбиесі</t>
  </si>
  <si>
    <t>Тіл дамыту</t>
  </si>
  <si>
    <t>Тіл  дамыту</t>
  </si>
  <si>
    <t xml:space="preserve">                                  Оқу жылы: 2025-2026ж                         Топ:"Балапан"              Өткізу кезеңі: Аралық        Өткізу мерзімі: 30.12.2025ж</t>
  </si>
  <si>
    <t xml:space="preserve">                                  Оқу жылы: 2025-2026ж                             Топ:  "Алпамыс"               Өткізу кезеңі:  Аралық    Өткізу мерзімі: 30.12.2025ж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</si>
</sst>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6%20&#1179;&#1072;&#1187;&#1090;&#1072;&#1088;%20&#1072;&#1083;&#1087;&#1072;&#1084;&#1099;&#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6%20&#1179;&#1072;&#1187;&#1090;&#1072;&#1088;%20&#1073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Абдигани Аяна Ермекқызы</v>
          </cell>
        </row>
        <row r="7">
          <cell r="B7" t="str">
            <v>Базарбай Иманғали Біржанұлы</v>
          </cell>
        </row>
        <row r="8">
          <cell r="B8" t="str">
            <v>Ерканбай Талғатәлі Бекзатұлы</v>
          </cell>
        </row>
        <row r="9">
          <cell r="B9" t="str">
            <v>Исмат Кәусар Бақтиярқызы</v>
          </cell>
        </row>
        <row r="10">
          <cell r="B10" t="str">
            <v>Кадирова Гулназ Туйгунжановна</v>
          </cell>
        </row>
        <row r="11">
          <cell r="B11" t="str">
            <v>Мусабек Сапура Кененқызы</v>
          </cell>
        </row>
        <row r="12">
          <cell r="B12" t="str">
            <v>Мусахунова Розыгуль Рахимжанқызы</v>
          </cell>
        </row>
        <row r="13">
          <cell r="B13" t="str">
            <v>Мусахунова Сафия Ахматжанқызы</v>
          </cell>
        </row>
        <row r="14">
          <cell r="B14" t="str">
            <v>Нуриддин Асқар Азаматұлы</v>
          </cell>
        </row>
        <row r="15">
          <cell r="B15" t="str">
            <v>Тиллабек Гүлім Ихтиярқызы</v>
          </cell>
        </row>
        <row r="16">
          <cell r="B16" t="str">
            <v>Усман Мәриям Мейрбекқызы</v>
          </cell>
        </row>
        <row r="17">
          <cell r="B17" t="str">
            <v>Әбдірахымова Айша</v>
          </cell>
        </row>
        <row r="18">
          <cell r="B18" t="str">
            <v>Әбдіқали Аяла Нұрсейітқызы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Адина Ерболатқызы</v>
          </cell>
        </row>
        <row r="7">
          <cell r="B7" t="str">
            <v>Мирзатиллаев Мухаммадалихан</v>
          </cell>
        </row>
        <row r="8">
          <cell r="B8" t="str">
            <v>Нұрлан Эльнара Меирбекқызы</v>
          </cell>
        </row>
        <row r="9">
          <cell r="B9" t="str">
            <v>Нұрсұлтан Айсұлтан Азаматұлы</v>
          </cell>
        </row>
        <row r="10">
          <cell r="B10" t="str">
            <v>Тілләбек Айбатыр Ыхтиярұлы</v>
          </cell>
        </row>
        <row r="11">
          <cell r="B11" t="str">
            <v>Убайдуллаев Мустафа Сумматиллаевич</v>
          </cell>
        </row>
        <row r="12">
          <cell r="B12" t="str">
            <v>Усман Мустафа Мейрбекұлы</v>
          </cell>
        </row>
        <row r="13">
          <cell r="B13" t="str">
            <v>Әбдіманат Ахмад Нұрғалиұлы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8"/>
  <sheetViews>
    <sheetView tabSelected="1" topLeftCell="A12" workbookViewId="0">
      <selection activeCell="B20" sqref="B20"/>
    </sheetView>
  </sheetViews>
  <sheetFormatPr defaultRowHeight="14.4" x14ac:dyDescent="0.3"/>
  <cols>
    <col min="1" max="1" width="4.5546875" customWidth="1"/>
    <col min="2" max="2" width="52.88671875" customWidth="1"/>
  </cols>
  <sheetData>
    <row r="1" spans="1:254" ht="15.6" x14ac:dyDescent="0.3">
      <c r="A1" s="6" t="s">
        <v>29</v>
      </c>
      <c r="B1" s="12" t="s">
        <v>372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73" t="s">
        <v>557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"/>
      <c r="P2" s="7"/>
      <c r="Q2" s="7"/>
      <c r="R2" s="7"/>
      <c r="S2" s="7"/>
      <c r="T2" s="7"/>
      <c r="U2" s="7"/>
      <c r="V2" s="7"/>
      <c r="DP2" s="74" t="s">
        <v>371</v>
      </c>
      <c r="DQ2" s="74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75" t="s">
        <v>0</v>
      </c>
      <c r="B5" s="75" t="s">
        <v>1</v>
      </c>
      <c r="C5" s="76" t="s">
        <v>14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7" t="s">
        <v>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8" t="s">
        <v>21</v>
      </c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 t="s">
        <v>23</v>
      </c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55" t="s">
        <v>26</v>
      </c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</row>
    <row r="6" spans="1:254" ht="15.75" customHeight="1" x14ac:dyDescent="0.3">
      <c r="A6" s="75"/>
      <c r="B6" s="75"/>
      <c r="C6" s="71" t="s">
        <v>554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 t="s">
        <v>555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 t="s">
        <v>3</v>
      </c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 t="s">
        <v>373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 t="s">
        <v>30</v>
      </c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 t="s">
        <v>24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2" t="s">
        <v>31</v>
      </c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 t="s">
        <v>32</v>
      </c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 t="s">
        <v>25</v>
      </c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0" t="s">
        <v>27</v>
      </c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</row>
    <row r="7" spans="1:254" ht="0.75" customHeight="1" x14ac:dyDescent="0.3">
      <c r="A7" s="75"/>
      <c r="B7" s="75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75"/>
      <c r="B8" s="7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75"/>
      <c r="B9" s="7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75"/>
      <c r="B10" s="75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75"/>
      <c r="B11" s="75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75"/>
      <c r="B12" s="75"/>
      <c r="C12" s="71" t="s">
        <v>374</v>
      </c>
      <c r="D12" s="71" t="s">
        <v>5</v>
      </c>
      <c r="E12" s="71" t="s">
        <v>6</v>
      </c>
      <c r="F12" s="71" t="s">
        <v>375</v>
      </c>
      <c r="G12" s="71" t="s">
        <v>7</v>
      </c>
      <c r="H12" s="71" t="s">
        <v>8</v>
      </c>
      <c r="I12" s="71" t="s">
        <v>376</v>
      </c>
      <c r="J12" s="71" t="s">
        <v>9</v>
      </c>
      <c r="K12" s="71" t="s">
        <v>10</v>
      </c>
      <c r="L12" s="71" t="s">
        <v>377</v>
      </c>
      <c r="M12" s="71" t="s">
        <v>9</v>
      </c>
      <c r="N12" s="71" t="s">
        <v>10</v>
      </c>
      <c r="O12" s="71" t="s">
        <v>378</v>
      </c>
      <c r="P12" s="71"/>
      <c r="Q12" s="71"/>
      <c r="R12" s="71" t="s">
        <v>5</v>
      </c>
      <c r="S12" s="71"/>
      <c r="T12" s="71"/>
      <c r="U12" s="71" t="s">
        <v>379</v>
      </c>
      <c r="V12" s="71"/>
      <c r="W12" s="71"/>
      <c r="X12" s="71" t="s">
        <v>12</v>
      </c>
      <c r="Y12" s="71"/>
      <c r="Z12" s="71"/>
      <c r="AA12" s="71" t="s">
        <v>7</v>
      </c>
      <c r="AB12" s="71"/>
      <c r="AC12" s="71"/>
      <c r="AD12" s="71" t="s">
        <v>8</v>
      </c>
      <c r="AE12" s="71"/>
      <c r="AF12" s="71"/>
      <c r="AG12" s="70" t="s">
        <v>380</v>
      </c>
      <c r="AH12" s="70"/>
      <c r="AI12" s="70"/>
      <c r="AJ12" s="71" t="s">
        <v>9</v>
      </c>
      <c r="AK12" s="71"/>
      <c r="AL12" s="71"/>
      <c r="AM12" s="70" t="s">
        <v>381</v>
      </c>
      <c r="AN12" s="70"/>
      <c r="AO12" s="70"/>
      <c r="AP12" s="70" t="s">
        <v>382</v>
      </c>
      <c r="AQ12" s="70"/>
      <c r="AR12" s="70"/>
      <c r="AS12" s="70" t="s">
        <v>383</v>
      </c>
      <c r="AT12" s="70"/>
      <c r="AU12" s="70"/>
      <c r="AV12" s="70" t="s">
        <v>384</v>
      </c>
      <c r="AW12" s="70"/>
      <c r="AX12" s="70"/>
      <c r="AY12" s="70" t="s">
        <v>385</v>
      </c>
      <c r="AZ12" s="70"/>
      <c r="BA12" s="70"/>
      <c r="BB12" s="70" t="s">
        <v>386</v>
      </c>
      <c r="BC12" s="70"/>
      <c r="BD12" s="70"/>
      <c r="BE12" s="70" t="s">
        <v>387</v>
      </c>
      <c r="BF12" s="70"/>
      <c r="BG12" s="70"/>
      <c r="BH12" s="70" t="s">
        <v>388</v>
      </c>
      <c r="BI12" s="70"/>
      <c r="BJ12" s="70"/>
      <c r="BK12" s="70" t="s">
        <v>389</v>
      </c>
      <c r="BL12" s="70"/>
      <c r="BM12" s="70"/>
      <c r="BN12" s="70" t="s">
        <v>390</v>
      </c>
      <c r="BO12" s="70"/>
      <c r="BP12" s="70"/>
      <c r="BQ12" s="70" t="s">
        <v>391</v>
      </c>
      <c r="BR12" s="70"/>
      <c r="BS12" s="70"/>
      <c r="BT12" s="70" t="s">
        <v>392</v>
      </c>
      <c r="BU12" s="70"/>
      <c r="BV12" s="70"/>
      <c r="BW12" s="70" t="s">
        <v>393</v>
      </c>
      <c r="BX12" s="70"/>
      <c r="BY12" s="70"/>
      <c r="BZ12" s="70" t="s">
        <v>394</v>
      </c>
      <c r="CA12" s="70"/>
      <c r="CB12" s="70"/>
      <c r="CC12" s="70" t="s">
        <v>395</v>
      </c>
      <c r="CD12" s="70"/>
      <c r="CE12" s="70"/>
      <c r="CF12" s="70" t="s">
        <v>396</v>
      </c>
      <c r="CG12" s="70"/>
      <c r="CH12" s="70"/>
      <c r="CI12" s="70" t="s">
        <v>397</v>
      </c>
      <c r="CJ12" s="70"/>
      <c r="CK12" s="70"/>
      <c r="CL12" s="70" t="s">
        <v>398</v>
      </c>
      <c r="CM12" s="70"/>
      <c r="CN12" s="70"/>
      <c r="CO12" s="70" t="s">
        <v>399</v>
      </c>
      <c r="CP12" s="70"/>
      <c r="CQ12" s="70"/>
      <c r="CR12" s="70" t="s">
        <v>400</v>
      </c>
      <c r="CS12" s="70"/>
      <c r="CT12" s="70"/>
      <c r="CU12" s="70" t="s">
        <v>401</v>
      </c>
      <c r="CV12" s="70"/>
      <c r="CW12" s="70"/>
      <c r="CX12" s="70" t="s">
        <v>402</v>
      </c>
      <c r="CY12" s="70"/>
      <c r="CZ12" s="70"/>
      <c r="DA12" s="70" t="s">
        <v>403</v>
      </c>
      <c r="DB12" s="70"/>
      <c r="DC12" s="70"/>
      <c r="DD12" s="70" t="s">
        <v>404</v>
      </c>
      <c r="DE12" s="70"/>
      <c r="DF12" s="70"/>
      <c r="DG12" s="70" t="s">
        <v>405</v>
      </c>
      <c r="DH12" s="70"/>
      <c r="DI12" s="70"/>
      <c r="DJ12" s="70" t="s">
        <v>406</v>
      </c>
      <c r="DK12" s="70"/>
      <c r="DL12" s="70"/>
      <c r="DM12" s="70" t="s">
        <v>407</v>
      </c>
      <c r="DN12" s="70"/>
      <c r="DO12" s="70"/>
      <c r="DP12" s="70" t="s">
        <v>408</v>
      </c>
      <c r="DQ12" s="70"/>
      <c r="DR12" s="70"/>
    </row>
    <row r="13" spans="1:254" ht="59.25" customHeight="1" x14ac:dyDescent="0.3">
      <c r="A13" s="75"/>
      <c r="B13" s="75"/>
      <c r="C13" s="62" t="s">
        <v>409</v>
      </c>
      <c r="D13" s="62"/>
      <c r="E13" s="62"/>
      <c r="F13" s="62" t="s">
        <v>410</v>
      </c>
      <c r="G13" s="62"/>
      <c r="H13" s="62"/>
      <c r="I13" s="62" t="s">
        <v>411</v>
      </c>
      <c r="J13" s="62"/>
      <c r="K13" s="62"/>
      <c r="L13" s="62" t="s">
        <v>412</v>
      </c>
      <c r="M13" s="62"/>
      <c r="N13" s="62"/>
      <c r="O13" s="62" t="s">
        <v>413</v>
      </c>
      <c r="P13" s="62"/>
      <c r="Q13" s="62"/>
      <c r="R13" s="62" t="s">
        <v>414</v>
      </c>
      <c r="S13" s="62"/>
      <c r="T13" s="62"/>
      <c r="U13" s="62" t="s">
        <v>415</v>
      </c>
      <c r="V13" s="62"/>
      <c r="W13" s="62"/>
      <c r="X13" s="62" t="s">
        <v>416</v>
      </c>
      <c r="Y13" s="62"/>
      <c r="Z13" s="62"/>
      <c r="AA13" s="62" t="s">
        <v>417</v>
      </c>
      <c r="AB13" s="62"/>
      <c r="AC13" s="62"/>
      <c r="AD13" s="62" t="s">
        <v>418</v>
      </c>
      <c r="AE13" s="62"/>
      <c r="AF13" s="62"/>
      <c r="AG13" s="62" t="s">
        <v>419</v>
      </c>
      <c r="AH13" s="62"/>
      <c r="AI13" s="62"/>
      <c r="AJ13" s="62" t="s">
        <v>420</v>
      </c>
      <c r="AK13" s="62"/>
      <c r="AL13" s="62"/>
      <c r="AM13" s="62" t="s">
        <v>421</v>
      </c>
      <c r="AN13" s="62"/>
      <c r="AO13" s="62"/>
      <c r="AP13" s="62" t="s">
        <v>422</v>
      </c>
      <c r="AQ13" s="62"/>
      <c r="AR13" s="62"/>
      <c r="AS13" s="62" t="s">
        <v>423</v>
      </c>
      <c r="AT13" s="62"/>
      <c r="AU13" s="62"/>
      <c r="AV13" s="62" t="s">
        <v>424</v>
      </c>
      <c r="AW13" s="62"/>
      <c r="AX13" s="62"/>
      <c r="AY13" s="62" t="s">
        <v>425</v>
      </c>
      <c r="AZ13" s="62"/>
      <c r="BA13" s="62"/>
      <c r="BB13" s="62" t="s">
        <v>426</v>
      </c>
      <c r="BC13" s="62"/>
      <c r="BD13" s="62"/>
      <c r="BE13" s="62" t="s">
        <v>427</v>
      </c>
      <c r="BF13" s="62"/>
      <c r="BG13" s="62"/>
      <c r="BH13" s="62" t="s">
        <v>428</v>
      </c>
      <c r="BI13" s="62"/>
      <c r="BJ13" s="62"/>
      <c r="BK13" s="62" t="s">
        <v>429</v>
      </c>
      <c r="BL13" s="62"/>
      <c r="BM13" s="62"/>
      <c r="BN13" s="62" t="s">
        <v>430</v>
      </c>
      <c r="BO13" s="62"/>
      <c r="BP13" s="62"/>
      <c r="BQ13" s="62" t="s">
        <v>431</v>
      </c>
      <c r="BR13" s="62"/>
      <c r="BS13" s="62"/>
      <c r="BT13" s="62" t="s">
        <v>432</v>
      </c>
      <c r="BU13" s="62"/>
      <c r="BV13" s="62"/>
      <c r="BW13" s="62" t="s">
        <v>433</v>
      </c>
      <c r="BX13" s="62"/>
      <c r="BY13" s="62"/>
      <c r="BZ13" s="62" t="s">
        <v>434</v>
      </c>
      <c r="CA13" s="62"/>
      <c r="CB13" s="62"/>
      <c r="CC13" s="62" t="s">
        <v>435</v>
      </c>
      <c r="CD13" s="62"/>
      <c r="CE13" s="62"/>
      <c r="CF13" s="62" t="s">
        <v>436</v>
      </c>
      <c r="CG13" s="62"/>
      <c r="CH13" s="62"/>
      <c r="CI13" s="62" t="s">
        <v>437</v>
      </c>
      <c r="CJ13" s="62"/>
      <c r="CK13" s="62"/>
      <c r="CL13" s="62" t="s">
        <v>438</v>
      </c>
      <c r="CM13" s="62"/>
      <c r="CN13" s="62"/>
      <c r="CO13" s="62" t="s">
        <v>439</v>
      </c>
      <c r="CP13" s="62"/>
      <c r="CQ13" s="62"/>
      <c r="CR13" s="62" t="s">
        <v>440</v>
      </c>
      <c r="CS13" s="62"/>
      <c r="CT13" s="62"/>
      <c r="CU13" s="62" t="s">
        <v>441</v>
      </c>
      <c r="CV13" s="62"/>
      <c r="CW13" s="62"/>
      <c r="CX13" s="62" t="s">
        <v>442</v>
      </c>
      <c r="CY13" s="62"/>
      <c r="CZ13" s="62"/>
      <c r="DA13" s="62" t="s">
        <v>443</v>
      </c>
      <c r="DB13" s="62"/>
      <c r="DC13" s="62"/>
      <c r="DD13" s="62" t="s">
        <v>444</v>
      </c>
      <c r="DE13" s="62"/>
      <c r="DF13" s="62"/>
      <c r="DG13" s="62" t="s">
        <v>445</v>
      </c>
      <c r="DH13" s="62"/>
      <c r="DI13" s="62"/>
      <c r="DJ13" s="62" t="s">
        <v>446</v>
      </c>
      <c r="DK13" s="62"/>
      <c r="DL13" s="62"/>
      <c r="DM13" s="62" t="s">
        <v>447</v>
      </c>
      <c r="DN13" s="62"/>
      <c r="DO13" s="62"/>
      <c r="DP13" s="62" t="s">
        <v>448</v>
      </c>
      <c r="DQ13" s="62"/>
      <c r="DR13" s="62"/>
    </row>
    <row r="14" spans="1:254" ht="83.25" customHeight="1" thickBot="1" x14ac:dyDescent="0.35">
      <c r="A14" s="75"/>
      <c r="B14" s="75"/>
      <c r="C14" s="33" t="s">
        <v>449</v>
      </c>
      <c r="D14" s="33" t="s">
        <v>450</v>
      </c>
      <c r="E14" s="33" t="s">
        <v>451</v>
      </c>
      <c r="F14" s="33" t="s">
        <v>452</v>
      </c>
      <c r="G14" s="33" t="s">
        <v>453</v>
      </c>
      <c r="H14" s="33" t="s">
        <v>454</v>
      </c>
      <c r="I14" s="33" t="s">
        <v>455</v>
      </c>
      <c r="J14" s="33" t="s">
        <v>456</v>
      </c>
      <c r="K14" s="33" t="s">
        <v>457</v>
      </c>
      <c r="L14" s="33" t="s">
        <v>458</v>
      </c>
      <c r="M14" s="33" t="s">
        <v>459</v>
      </c>
      <c r="N14" s="33" t="s">
        <v>460</v>
      </c>
      <c r="O14" s="33" t="s">
        <v>461</v>
      </c>
      <c r="P14" s="33" t="s">
        <v>462</v>
      </c>
      <c r="Q14" s="33" t="s">
        <v>17</v>
      </c>
      <c r="R14" s="33" t="s">
        <v>18</v>
      </c>
      <c r="S14" s="33" t="s">
        <v>463</v>
      </c>
      <c r="T14" s="33" t="s">
        <v>464</v>
      </c>
      <c r="U14" s="33" t="s">
        <v>465</v>
      </c>
      <c r="V14" s="33" t="s">
        <v>463</v>
      </c>
      <c r="W14" s="33" t="s">
        <v>19</v>
      </c>
      <c r="X14" s="33" t="s">
        <v>16</v>
      </c>
      <c r="Y14" s="33" t="s">
        <v>466</v>
      </c>
      <c r="Z14" s="33" t="s">
        <v>467</v>
      </c>
      <c r="AA14" s="33" t="s">
        <v>468</v>
      </c>
      <c r="AB14" s="33" t="s">
        <v>469</v>
      </c>
      <c r="AC14" s="33" t="s">
        <v>464</v>
      </c>
      <c r="AD14" s="33" t="s">
        <v>470</v>
      </c>
      <c r="AE14" s="33" t="s">
        <v>471</v>
      </c>
      <c r="AF14" s="33" t="s">
        <v>472</v>
      </c>
      <c r="AG14" s="33" t="s">
        <v>473</v>
      </c>
      <c r="AH14" s="33" t="s">
        <v>474</v>
      </c>
      <c r="AI14" s="33" t="s">
        <v>475</v>
      </c>
      <c r="AJ14" s="33" t="s">
        <v>39</v>
      </c>
      <c r="AK14" s="33" t="s">
        <v>476</v>
      </c>
      <c r="AL14" s="33" t="s">
        <v>477</v>
      </c>
      <c r="AM14" s="33" t="s">
        <v>478</v>
      </c>
      <c r="AN14" s="33" t="s">
        <v>453</v>
      </c>
      <c r="AO14" s="33" t="s">
        <v>479</v>
      </c>
      <c r="AP14" s="33" t="s">
        <v>480</v>
      </c>
      <c r="AQ14" s="33" t="s">
        <v>481</v>
      </c>
      <c r="AR14" s="33" t="s">
        <v>482</v>
      </c>
      <c r="AS14" s="33" t="s">
        <v>40</v>
      </c>
      <c r="AT14" s="33" t="s">
        <v>41</v>
      </c>
      <c r="AU14" s="33" t="s">
        <v>42</v>
      </c>
      <c r="AV14" s="33" t="s">
        <v>483</v>
      </c>
      <c r="AW14" s="33" t="s">
        <v>484</v>
      </c>
      <c r="AX14" s="33" t="s">
        <v>485</v>
      </c>
      <c r="AY14" s="33" t="s">
        <v>486</v>
      </c>
      <c r="AZ14" s="33" t="s">
        <v>487</v>
      </c>
      <c r="BA14" s="33" t="s">
        <v>488</v>
      </c>
      <c r="BB14" s="33" t="s">
        <v>489</v>
      </c>
      <c r="BC14" s="33" t="s">
        <v>463</v>
      </c>
      <c r="BD14" s="33" t="s">
        <v>490</v>
      </c>
      <c r="BE14" s="33" t="s">
        <v>43</v>
      </c>
      <c r="BF14" s="33" t="s">
        <v>491</v>
      </c>
      <c r="BG14" s="33" t="s">
        <v>44</v>
      </c>
      <c r="BH14" s="33" t="s">
        <v>492</v>
      </c>
      <c r="BI14" s="33" t="s">
        <v>493</v>
      </c>
      <c r="BJ14" s="33" t="s">
        <v>494</v>
      </c>
      <c r="BK14" s="33" t="s">
        <v>495</v>
      </c>
      <c r="BL14" s="33" t="s">
        <v>496</v>
      </c>
      <c r="BM14" s="33" t="s">
        <v>45</v>
      </c>
      <c r="BN14" s="33" t="s">
        <v>22</v>
      </c>
      <c r="BO14" s="33" t="s">
        <v>497</v>
      </c>
      <c r="BP14" s="33" t="s">
        <v>498</v>
      </c>
      <c r="BQ14" s="33" t="s">
        <v>499</v>
      </c>
      <c r="BR14" s="33" t="s">
        <v>491</v>
      </c>
      <c r="BS14" s="33" t="s">
        <v>479</v>
      </c>
      <c r="BT14" s="33" t="s">
        <v>500</v>
      </c>
      <c r="BU14" s="33" t="s">
        <v>501</v>
      </c>
      <c r="BV14" s="33" t="s">
        <v>502</v>
      </c>
      <c r="BW14" s="33" t="s">
        <v>28</v>
      </c>
      <c r="BX14" s="33" t="s">
        <v>503</v>
      </c>
      <c r="BY14" s="33" t="s">
        <v>36</v>
      </c>
      <c r="BZ14" s="33" t="s">
        <v>504</v>
      </c>
      <c r="CA14" s="33" t="s">
        <v>505</v>
      </c>
      <c r="CB14" s="33" t="s">
        <v>506</v>
      </c>
      <c r="CC14" s="33" t="s">
        <v>507</v>
      </c>
      <c r="CD14" s="33" t="s">
        <v>508</v>
      </c>
      <c r="CE14" s="33" t="s">
        <v>509</v>
      </c>
      <c r="CF14" s="33" t="s">
        <v>510</v>
      </c>
      <c r="CG14" s="33" t="s">
        <v>511</v>
      </c>
      <c r="CH14" s="33" t="s">
        <v>512</v>
      </c>
      <c r="CI14" s="33" t="s">
        <v>513</v>
      </c>
      <c r="CJ14" s="33" t="s">
        <v>514</v>
      </c>
      <c r="CK14" s="33" t="s">
        <v>515</v>
      </c>
      <c r="CL14" s="33" t="s">
        <v>516</v>
      </c>
      <c r="CM14" s="33" t="s">
        <v>517</v>
      </c>
      <c r="CN14" s="33" t="s">
        <v>518</v>
      </c>
      <c r="CO14" s="33" t="s">
        <v>519</v>
      </c>
      <c r="CP14" s="33" t="s">
        <v>48</v>
      </c>
      <c r="CQ14" s="33" t="s">
        <v>520</v>
      </c>
      <c r="CR14" s="33" t="s">
        <v>521</v>
      </c>
      <c r="CS14" s="33" t="s">
        <v>522</v>
      </c>
      <c r="CT14" s="33" t="s">
        <v>523</v>
      </c>
      <c r="CU14" s="33" t="s">
        <v>524</v>
      </c>
      <c r="CV14" s="33" t="s">
        <v>525</v>
      </c>
      <c r="CW14" s="33" t="s">
        <v>526</v>
      </c>
      <c r="CX14" s="33" t="s">
        <v>527</v>
      </c>
      <c r="CY14" s="33" t="s">
        <v>528</v>
      </c>
      <c r="CZ14" s="33" t="s">
        <v>529</v>
      </c>
      <c r="DA14" s="33" t="s">
        <v>530</v>
      </c>
      <c r="DB14" s="33" t="s">
        <v>531</v>
      </c>
      <c r="DC14" s="33" t="s">
        <v>532</v>
      </c>
      <c r="DD14" s="33" t="s">
        <v>533</v>
      </c>
      <c r="DE14" s="33" t="s">
        <v>534</v>
      </c>
      <c r="DF14" s="33" t="s">
        <v>535</v>
      </c>
      <c r="DG14" s="33" t="s">
        <v>536</v>
      </c>
      <c r="DH14" s="33" t="s">
        <v>537</v>
      </c>
      <c r="DI14" s="33" t="s">
        <v>538</v>
      </c>
      <c r="DJ14" s="33" t="s">
        <v>539</v>
      </c>
      <c r="DK14" s="33" t="s">
        <v>540</v>
      </c>
      <c r="DL14" s="33" t="s">
        <v>541</v>
      </c>
      <c r="DM14" s="33" t="s">
        <v>542</v>
      </c>
      <c r="DN14" s="33" t="s">
        <v>543</v>
      </c>
      <c r="DO14" s="33" t="s">
        <v>544</v>
      </c>
      <c r="DP14" s="33" t="s">
        <v>545</v>
      </c>
      <c r="DQ14" s="33" t="s">
        <v>546</v>
      </c>
      <c r="DR14" s="33" t="s">
        <v>547</v>
      </c>
    </row>
    <row r="15" spans="1:254" ht="16.2" thickBot="1" x14ac:dyDescent="0.35">
      <c r="A15" s="14">
        <v>1</v>
      </c>
      <c r="B15" s="51" t="str">
        <f>[2]Worksheet!B6</f>
        <v>Абдеш Адина Ерболатқызы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/>
      <c r="AB15" s="5"/>
      <c r="AC15" s="5">
        <v>1</v>
      </c>
      <c r="AD15" s="5">
        <v>1</v>
      </c>
      <c r="AE15" s="5"/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>
        <v>1</v>
      </c>
      <c r="AQ15" s="5"/>
      <c r="AR15" s="5"/>
      <c r="AS15" s="5">
        <v>1</v>
      </c>
      <c r="AT15" s="5"/>
      <c r="AU15" s="5"/>
      <c r="AV15" s="5">
        <v>1</v>
      </c>
      <c r="AW15" s="5"/>
      <c r="AX15" s="5"/>
      <c r="AY15" s="5">
        <v>1</v>
      </c>
      <c r="AZ15" s="5"/>
      <c r="BA15" s="5"/>
      <c r="BB15" s="5">
        <v>1</v>
      </c>
      <c r="BC15" s="5"/>
      <c r="BD15" s="5"/>
      <c r="BE15" s="5"/>
      <c r="BF15" s="5">
        <v>1</v>
      </c>
      <c r="BG15" s="5"/>
      <c r="BH15" s="5">
        <v>1</v>
      </c>
      <c r="BI15" s="5"/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6.2" thickBot="1" x14ac:dyDescent="0.35">
      <c r="A16" s="2">
        <v>2</v>
      </c>
      <c r="B16" s="52" t="str">
        <f>[2]Worksheet!B7</f>
        <v>Мирзатиллаев Мухаммадалихан</v>
      </c>
      <c r="C16" s="42">
        <v>1</v>
      </c>
      <c r="D16" s="42"/>
      <c r="E16" s="42"/>
      <c r="F16" s="42">
        <v>1</v>
      </c>
      <c r="G16" s="42"/>
      <c r="H16" s="42"/>
      <c r="I16" s="42">
        <v>1</v>
      </c>
      <c r="J16" s="42"/>
      <c r="K16" s="42"/>
      <c r="L16" s="42"/>
      <c r="M16" s="42">
        <v>1</v>
      </c>
      <c r="N16" s="42"/>
      <c r="O16" s="42">
        <v>1</v>
      </c>
      <c r="P16" s="42"/>
      <c r="Q16" s="42"/>
      <c r="R16" s="42"/>
      <c r="S16" s="42">
        <v>1</v>
      </c>
      <c r="T16" s="42"/>
      <c r="U16" s="42"/>
      <c r="V16" s="42">
        <v>1</v>
      </c>
      <c r="W16" s="42"/>
      <c r="X16" s="42"/>
      <c r="Y16" s="42">
        <v>1</v>
      </c>
      <c r="Z16" s="42"/>
      <c r="AA16" s="42"/>
      <c r="AB16" s="42">
        <v>1</v>
      </c>
      <c r="AC16" s="42"/>
      <c r="AD16" s="42"/>
      <c r="AE16" s="42">
        <v>1</v>
      </c>
      <c r="AF16" s="42"/>
      <c r="AG16" s="42">
        <v>1</v>
      </c>
      <c r="AH16" s="42"/>
      <c r="AI16" s="42"/>
      <c r="AJ16" s="42">
        <v>1</v>
      </c>
      <c r="AK16" s="42"/>
      <c r="AL16" s="42"/>
      <c r="AM16" s="42"/>
      <c r="AN16" s="42">
        <v>1</v>
      </c>
      <c r="AO16" s="42"/>
      <c r="AP16" s="42">
        <v>1</v>
      </c>
      <c r="AQ16" s="42"/>
      <c r="AR16" s="42"/>
      <c r="AS16" s="42">
        <v>1</v>
      </c>
      <c r="AT16" s="42"/>
      <c r="AU16" s="42"/>
      <c r="AV16" s="42">
        <v>1</v>
      </c>
      <c r="AW16" s="42"/>
      <c r="AX16" s="42"/>
      <c r="AY16" s="42">
        <v>1</v>
      </c>
      <c r="AZ16" s="42"/>
      <c r="BA16" s="42"/>
      <c r="BB16" s="42"/>
      <c r="BC16" s="42">
        <v>1</v>
      </c>
      <c r="BD16" s="42"/>
      <c r="BE16" s="42"/>
      <c r="BF16" s="42">
        <v>1</v>
      </c>
      <c r="BG16" s="42"/>
      <c r="BH16" s="42">
        <v>1</v>
      </c>
      <c r="BI16" s="42"/>
      <c r="BJ16" s="42"/>
      <c r="BK16" s="4">
        <v>1</v>
      </c>
      <c r="BL16" s="4"/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6.2" thickBot="1" x14ac:dyDescent="0.35">
      <c r="A17" s="2">
        <v>3</v>
      </c>
      <c r="B17" s="52" t="str">
        <f>[2]Worksheet!B8</f>
        <v>Нұрлан Эльнара Меирбекқызы</v>
      </c>
      <c r="C17" s="42">
        <v>1</v>
      </c>
      <c r="D17" s="42"/>
      <c r="E17" s="42"/>
      <c r="F17" s="42"/>
      <c r="G17" s="42"/>
      <c r="H17" s="42">
        <v>1</v>
      </c>
      <c r="I17" s="42">
        <v>1</v>
      </c>
      <c r="J17" s="42"/>
      <c r="K17" s="42"/>
      <c r="L17" s="42">
        <v>1</v>
      </c>
      <c r="M17" s="42"/>
      <c r="N17" s="42"/>
      <c r="O17" s="42">
        <v>1</v>
      </c>
      <c r="P17" s="42"/>
      <c r="Q17" s="42"/>
      <c r="R17" s="42"/>
      <c r="S17" s="42">
        <v>1</v>
      </c>
      <c r="T17" s="42"/>
      <c r="U17" s="42">
        <v>1</v>
      </c>
      <c r="V17" s="42"/>
      <c r="W17" s="42"/>
      <c r="X17" s="42">
        <v>1</v>
      </c>
      <c r="Y17" s="42"/>
      <c r="Z17" s="42"/>
      <c r="AA17" s="42">
        <v>1</v>
      </c>
      <c r="AB17" s="42"/>
      <c r="AC17" s="42"/>
      <c r="AD17" s="42">
        <v>1</v>
      </c>
      <c r="AE17" s="42"/>
      <c r="AF17" s="42"/>
      <c r="AG17" s="42">
        <v>1</v>
      </c>
      <c r="AH17" s="42"/>
      <c r="AI17" s="42"/>
      <c r="AJ17" s="42">
        <v>1</v>
      </c>
      <c r="AK17" s="42"/>
      <c r="AL17" s="42"/>
      <c r="AM17" s="42"/>
      <c r="AN17" s="42">
        <v>1</v>
      </c>
      <c r="AO17" s="42"/>
      <c r="AP17" s="42">
        <v>1</v>
      </c>
      <c r="AQ17" s="42"/>
      <c r="AR17" s="42"/>
      <c r="AS17" s="42"/>
      <c r="AT17" s="42"/>
      <c r="AU17" s="42">
        <v>1</v>
      </c>
      <c r="AV17" s="42">
        <v>1</v>
      </c>
      <c r="AW17" s="42"/>
      <c r="AX17" s="42"/>
      <c r="AY17" s="42">
        <v>1</v>
      </c>
      <c r="AZ17" s="42"/>
      <c r="BA17" s="42"/>
      <c r="BB17" s="42">
        <v>1</v>
      </c>
      <c r="BC17" s="42"/>
      <c r="BD17" s="42"/>
      <c r="BE17" s="42"/>
      <c r="BF17" s="42">
        <v>1</v>
      </c>
      <c r="BG17" s="42"/>
      <c r="BH17" s="42">
        <v>1</v>
      </c>
      <c r="BI17" s="42"/>
      <c r="BJ17" s="42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6.2" thickBot="1" x14ac:dyDescent="0.35">
      <c r="A18" s="2">
        <v>4</v>
      </c>
      <c r="B18" s="52" t="str">
        <f>[2]Worksheet!B9</f>
        <v>Нұрсұлтан Айсұлтан Азаматұлы</v>
      </c>
      <c r="C18" s="42"/>
      <c r="D18" s="42">
        <v>1</v>
      </c>
      <c r="E18" s="42"/>
      <c r="F18" s="42">
        <v>1</v>
      </c>
      <c r="G18" s="42"/>
      <c r="H18" s="42"/>
      <c r="I18" s="42"/>
      <c r="J18" s="42">
        <v>1</v>
      </c>
      <c r="K18" s="42"/>
      <c r="L18" s="42"/>
      <c r="M18" s="42"/>
      <c r="N18" s="42">
        <v>1</v>
      </c>
      <c r="O18" s="42"/>
      <c r="P18" s="42"/>
      <c r="Q18" s="42">
        <v>1</v>
      </c>
      <c r="R18" s="42"/>
      <c r="S18" s="42">
        <v>1</v>
      </c>
      <c r="T18" s="42"/>
      <c r="U18" s="42"/>
      <c r="V18" s="42"/>
      <c r="W18" s="42">
        <v>1</v>
      </c>
      <c r="X18" s="42"/>
      <c r="Y18" s="42">
        <v>1</v>
      </c>
      <c r="Z18" s="42"/>
      <c r="AA18" s="42">
        <v>1</v>
      </c>
      <c r="AB18" s="42"/>
      <c r="AC18" s="42"/>
      <c r="AD18" s="42">
        <v>1</v>
      </c>
      <c r="AE18" s="42"/>
      <c r="AF18" s="42"/>
      <c r="AG18" s="42"/>
      <c r="AH18" s="42">
        <v>1</v>
      </c>
      <c r="AI18" s="42"/>
      <c r="AJ18" s="42">
        <v>1</v>
      </c>
      <c r="AK18" s="42"/>
      <c r="AL18" s="42"/>
      <c r="AM18" s="42"/>
      <c r="AN18" s="42">
        <v>1</v>
      </c>
      <c r="AO18" s="42"/>
      <c r="AP18" s="42"/>
      <c r="AQ18" s="42">
        <v>1</v>
      </c>
      <c r="AR18" s="42"/>
      <c r="AS18" s="42"/>
      <c r="AT18" s="42">
        <v>1</v>
      </c>
      <c r="AU18" s="42"/>
      <c r="AV18" s="42"/>
      <c r="AW18" s="42">
        <v>1</v>
      </c>
      <c r="AX18" s="42"/>
      <c r="AY18" s="42"/>
      <c r="AZ18" s="42">
        <v>1</v>
      </c>
      <c r="BA18" s="42"/>
      <c r="BB18" s="42"/>
      <c r="BC18" s="42">
        <v>1</v>
      </c>
      <c r="BD18" s="42"/>
      <c r="BE18" s="42"/>
      <c r="BF18" s="42">
        <v>1</v>
      </c>
      <c r="BG18" s="42"/>
      <c r="BH18" s="42"/>
      <c r="BI18" s="42">
        <v>1</v>
      </c>
      <c r="BJ18" s="42"/>
      <c r="BK18" s="4"/>
      <c r="BL18" s="4">
        <v>1</v>
      </c>
      <c r="BM18" s="4"/>
      <c r="BN18" s="4">
        <v>1</v>
      </c>
      <c r="BO18" s="4"/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>
        <v>1</v>
      </c>
      <c r="DB18" s="4"/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6.2" thickBot="1" x14ac:dyDescent="0.35">
      <c r="A19" s="2">
        <v>5</v>
      </c>
      <c r="B19" s="52" t="str">
        <f>[2]Worksheet!B10</f>
        <v>Тілләбек Айбатыр Ыхтиярұлы</v>
      </c>
      <c r="C19" s="42">
        <v>1</v>
      </c>
      <c r="D19" s="42"/>
      <c r="E19" s="42"/>
      <c r="F19" s="42">
        <v>1</v>
      </c>
      <c r="G19" s="42"/>
      <c r="H19" s="42"/>
      <c r="I19" s="42"/>
      <c r="J19" s="42"/>
      <c r="K19" s="42">
        <v>1</v>
      </c>
      <c r="L19" s="42"/>
      <c r="M19" s="42">
        <v>1</v>
      </c>
      <c r="N19" s="42"/>
      <c r="O19" s="42">
        <v>1</v>
      </c>
      <c r="P19" s="42"/>
      <c r="Q19" s="42"/>
      <c r="R19" s="42"/>
      <c r="S19" s="42">
        <v>1</v>
      </c>
      <c r="T19" s="42"/>
      <c r="U19" s="42">
        <v>1</v>
      </c>
      <c r="V19" s="42"/>
      <c r="W19" s="42"/>
      <c r="X19" s="42">
        <v>1</v>
      </c>
      <c r="Y19" s="42"/>
      <c r="Z19" s="42"/>
      <c r="AA19" s="42"/>
      <c r="AB19" s="42"/>
      <c r="AC19" s="42">
        <v>1</v>
      </c>
      <c r="AD19" s="42"/>
      <c r="AE19" s="42">
        <v>1</v>
      </c>
      <c r="AF19" s="42"/>
      <c r="AG19" s="42">
        <v>1</v>
      </c>
      <c r="AH19" s="42"/>
      <c r="AI19" s="42"/>
      <c r="AJ19" s="42"/>
      <c r="AK19" s="42">
        <v>1</v>
      </c>
      <c r="AL19" s="42"/>
      <c r="AM19" s="42">
        <v>1</v>
      </c>
      <c r="AN19" s="42"/>
      <c r="AO19" s="42"/>
      <c r="AP19" s="42"/>
      <c r="AQ19" s="42"/>
      <c r="AR19" s="42">
        <v>1</v>
      </c>
      <c r="AS19" s="42"/>
      <c r="AT19" s="42"/>
      <c r="AU19" s="42">
        <v>1</v>
      </c>
      <c r="AV19" s="42"/>
      <c r="AW19" s="42">
        <v>1</v>
      </c>
      <c r="AX19" s="42"/>
      <c r="AY19" s="42"/>
      <c r="AZ19" s="42">
        <v>1</v>
      </c>
      <c r="BA19" s="42"/>
      <c r="BB19" s="42"/>
      <c r="BC19" s="42">
        <v>1</v>
      </c>
      <c r="BD19" s="42"/>
      <c r="BE19" s="42"/>
      <c r="BF19" s="42"/>
      <c r="BG19" s="42">
        <v>1</v>
      </c>
      <c r="BH19" s="42"/>
      <c r="BI19" s="42">
        <v>1</v>
      </c>
      <c r="BJ19" s="42"/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/>
      <c r="CA19" s="4"/>
      <c r="CB19" s="4">
        <v>1</v>
      </c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>
        <v>1</v>
      </c>
      <c r="DC19" s="4"/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>
        <v>1</v>
      </c>
      <c r="DR19" s="4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6.2" thickBot="1" x14ac:dyDescent="0.35">
      <c r="A20" s="2">
        <v>6</v>
      </c>
      <c r="B20" s="52" t="str">
        <f>[2]Worksheet!B11</f>
        <v>Убайдуллаев Мустафа Сумматиллаевич</v>
      </c>
      <c r="C20" s="42"/>
      <c r="D20" s="42">
        <v>1</v>
      </c>
      <c r="E20" s="42"/>
      <c r="F20" s="42"/>
      <c r="G20" s="42">
        <v>1</v>
      </c>
      <c r="H20" s="42"/>
      <c r="I20" s="42">
        <v>1</v>
      </c>
      <c r="J20" s="42"/>
      <c r="K20" s="42"/>
      <c r="L20" s="42"/>
      <c r="M20" s="42">
        <v>1</v>
      </c>
      <c r="N20" s="42"/>
      <c r="O20" s="42"/>
      <c r="P20" s="42">
        <v>1</v>
      </c>
      <c r="Q20" s="42"/>
      <c r="R20" s="42"/>
      <c r="S20" s="42"/>
      <c r="T20" s="42">
        <v>1</v>
      </c>
      <c r="U20" s="42"/>
      <c r="V20" s="42">
        <v>1</v>
      </c>
      <c r="W20" s="42"/>
      <c r="X20" s="42"/>
      <c r="Y20" s="42"/>
      <c r="Z20" s="42">
        <v>1</v>
      </c>
      <c r="AA20" s="42"/>
      <c r="AB20" s="42">
        <v>1</v>
      </c>
      <c r="AC20" s="42"/>
      <c r="AD20" s="42">
        <v>1</v>
      </c>
      <c r="AE20" s="42"/>
      <c r="AF20" s="42"/>
      <c r="AG20" s="42">
        <v>1</v>
      </c>
      <c r="AH20" s="42"/>
      <c r="AI20" s="42"/>
      <c r="AJ20" s="42">
        <v>1</v>
      </c>
      <c r="AK20" s="42"/>
      <c r="AL20" s="42"/>
      <c r="AM20" s="42">
        <v>1</v>
      </c>
      <c r="AN20" s="42"/>
      <c r="AO20" s="42"/>
      <c r="AP20" s="42">
        <v>1</v>
      </c>
      <c r="AQ20" s="42"/>
      <c r="AR20" s="42"/>
      <c r="AS20" s="42">
        <v>1</v>
      </c>
      <c r="AT20" s="42"/>
      <c r="AU20" s="42"/>
      <c r="AV20" s="42">
        <v>1</v>
      </c>
      <c r="AW20" s="42"/>
      <c r="AX20" s="42"/>
      <c r="AY20" s="42">
        <v>1</v>
      </c>
      <c r="AZ20" s="42"/>
      <c r="BA20" s="42"/>
      <c r="BB20" s="42">
        <v>1</v>
      </c>
      <c r="BC20" s="42"/>
      <c r="BD20" s="42"/>
      <c r="BE20" s="42">
        <v>1</v>
      </c>
      <c r="BF20" s="42"/>
      <c r="BG20" s="42"/>
      <c r="BH20" s="42">
        <v>1</v>
      </c>
      <c r="BI20" s="42"/>
      <c r="BJ20" s="42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>
        <v>1</v>
      </c>
      <c r="CA20" s="4"/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ht="16.2" thickBot="1" x14ac:dyDescent="0.35">
      <c r="A21" s="2">
        <v>7</v>
      </c>
      <c r="B21" s="52" t="str">
        <f>[2]Worksheet!B12</f>
        <v>Усман Мустафа Мейрбекұлы</v>
      </c>
      <c r="C21" s="42">
        <v>1</v>
      </c>
      <c r="D21" s="42"/>
      <c r="E21" s="42"/>
      <c r="F21" s="42">
        <v>1</v>
      </c>
      <c r="G21" s="42"/>
      <c r="H21" s="42"/>
      <c r="I21" s="42"/>
      <c r="J21" s="42">
        <v>1</v>
      </c>
      <c r="K21" s="42"/>
      <c r="L21" s="42">
        <v>1</v>
      </c>
      <c r="M21" s="42"/>
      <c r="N21" s="42"/>
      <c r="O21" s="42">
        <v>1</v>
      </c>
      <c r="P21" s="42"/>
      <c r="Q21" s="42"/>
      <c r="R21" s="42">
        <v>1</v>
      </c>
      <c r="S21" s="42"/>
      <c r="T21" s="42"/>
      <c r="U21" s="42">
        <v>1</v>
      </c>
      <c r="V21" s="42"/>
      <c r="W21" s="42"/>
      <c r="X21" s="42">
        <v>1</v>
      </c>
      <c r="Y21" s="42"/>
      <c r="Z21" s="42"/>
      <c r="AA21" s="42">
        <v>1</v>
      </c>
      <c r="AB21" s="42"/>
      <c r="AC21" s="42"/>
      <c r="AD21" s="42"/>
      <c r="AE21" s="42">
        <v>1</v>
      </c>
      <c r="AF21" s="42"/>
      <c r="AG21" s="42">
        <v>1</v>
      </c>
      <c r="AH21" s="42"/>
      <c r="AI21" s="42"/>
      <c r="AJ21" s="42">
        <v>1</v>
      </c>
      <c r="AK21" s="42"/>
      <c r="AL21" s="42"/>
      <c r="AM21" s="42"/>
      <c r="AN21" s="42">
        <v>1</v>
      </c>
      <c r="AO21" s="42"/>
      <c r="AP21" s="42">
        <v>1</v>
      </c>
      <c r="AQ21" s="42"/>
      <c r="AR21" s="42"/>
      <c r="AS21" s="42">
        <v>1</v>
      </c>
      <c r="AT21" s="42"/>
      <c r="AU21" s="42"/>
      <c r="AV21" s="42">
        <v>1</v>
      </c>
      <c r="AW21" s="42"/>
      <c r="AX21" s="42"/>
      <c r="AY21" s="42">
        <v>1</v>
      </c>
      <c r="AZ21" s="42"/>
      <c r="BA21" s="42"/>
      <c r="BB21" s="42">
        <v>1</v>
      </c>
      <c r="BC21" s="42"/>
      <c r="BD21" s="42"/>
      <c r="BE21" s="42">
        <v>1</v>
      </c>
      <c r="BF21" s="42"/>
      <c r="BG21" s="42"/>
      <c r="BH21" s="42">
        <v>1</v>
      </c>
      <c r="BI21" s="42"/>
      <c r="BJ21" s="42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</row>
    <row r="22" spans="1:254" ht="16.2" thickBot="1" x14ac:dyDescent="0.35">
      <c r="A22" s="40">
        <v>8</v>
      </c>
      <c r="B22" s="52" t="str">
        <f>[2]Worksheet!B13</f>
        <v>Әбдіманат Ахмад Нұрғалиұлы</v>
      </c>
      <c r="C22" s="40"/>
      <c r="D22" s="40">
        <v>1</v>
      </c>
      <c r="E22" s="40"/>
      <c r="F22" s="40"/>
      <c r="G22" s="40">
        <v>1</v>
      </c>
      <c r="H22" s="40"/>
      <c r="I22" s="40"/>
      <c r="J22" s="40"/>
      <c r="K22" s="40">
        <v>1</v>
      </c>
      <c r="L22" s="40">
        <v>1</v>
      </c>
      <c r="M22" s="40"/>
      <c r="N22" s="40"/>
      <c r="O22" s="40"/>
      <c r="P22" s="40">
        <v>1</v>
      </c>
      <c r="Q22" s="40"/>
      <c r="R22" s="40"/>
      <c r="S22" s="40">
        <v>1</v>
      </c>
      <c r="T22" s="40"/>
      <c r="U22" s="40"/>
      <c r="V22" s="40">
        <v>1</v>
      </c>
      <c r="W22" s="40"/>
      <c r="X22" s="40"/>
      <c r="Y22" s="40">
        <v>1</v>
      </c>
      <c r="Z22" s="40"/>
      <c r="AA22" s="40"/>
      <c r="AB22" s="40">
        <v>1</v>
      </c>
      <c r="AC22" s="40"/>
      <c r="AD22" s="40"/>
      <c r="AE22" s="40">
        <v>1</v>
      </c>
      <c r="AF22" s="40"/>
      <c r="AG22" s="40"/>
      <c r="AH22" s="40"/>
      <c r="AI22" s="40">
        <v>1</v>
      </c>
      <c r="AJ22" s="40">
        <v>1</v>
      </c>
      <c r="AK22" s="40"/>
      <c r="AL22" s="40"/>
      <c r="AM22" s="40"/>
      <c r="AN22" s="40">
        <v>1</v>
      </c>
      <c r="AO22" s="40"/>
      <c r="AP22" s="40"/>
      <c r="AQ22" s="40">
        <v>1</v>
      </c>
      <c r="AR22" s="40"/>
      <c r="AS22" s="40"/>
      <c r="AT22" s="40">
        <v>1</v>
      </c>
      <c r="AU22" s="40"/>
      <c r="AV22" s="40"/>
      <c r="AW22" s="40">
        <v>1</v>
      </c>
      <c r="AX22" s="40"/>
      <c r="AY22" s="40"/>
      <c r="AZ22" s="40">
        <v>1</v>
      </c>
      <c r="BA22" s="40"/>
      <c r="BB22" s="40"/>
      <c r="BC22" s="40">
        <v>1</v>
      </c>
      <c r="BD22" s="40"/>
      <c r="BE22" s="40">
        <v>1</v>
      </c>
      <c r="BF22" s="40"/>
      <c r="BG22" s="40"/>
      <c r="BH22" s="40"/>
      <c r="BI22" s="40">
        <v>1</v>
      </c>
      <c r="BJ22" s="40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x14ac:dyDescent="0.3">
      <c r="A23" s="63" t="s">
        <v>49</v>
      </c>
      <c r="B23" s="64"/>
      <c r="C23" s="40">
        <f t="shared" ref="C23:AH23" si="0">SUM(C15:C22)</f>
        <v>5</v>
      </c>
      <c r="D23" s="40">
        <f t="shared" si="0"/>
        <v>3</v>
      </c>
      <c r="E23" s="40">
        <f t="shared" si="0"/>
        <v>0</v>
      </c>
      <c r="F23" s="40">
        <f t="shared" si="0"/>
        <v>5</v>
      </c>
      <c r="G23" s="40">
        <f t="shared" si="0"/>
        <v>2</v>
      </c>
      <c r="H23" s="40">
        <f t="shared" si="0"/>
        <v>1</v>
      </c>
      <c r="I23" s="40">
        <f t="shared" si="0"/>
        <v>3</v>
      </c>
      <c r="J23" s="40">
        <f t="shared" si="0"/>
        <v>3</v>
      </c>
      <c r="K23" s="40">
        <f t="shared" si="0"/>
        <v>2</v>
      </c>
      <c r="L23" s="40">
        <f t="shared" si="0"/>
        <v>4</v>
      </c>
      <c r="M23" s="40">
        <f t="shared" si="0"/>
        <v>3</v>
      </c>
      <c r="N23" s="40">
        <f t="shared" si="0"/>
        <v>1</v>
      </c>
      <c r="O23" s="40">
        <f t="shared" si="0"/>
        <v>4</v>
      </c>
      <c r="P23" s="40">
        <f t="shared" si="0"/>
        <v>2</v>
      </c>
      <c r="Q23" s="40">
        <f t="shared" si="0"/>
        <v>2</v>
      </c>
      <c r="R23" s="40">
        <f t="shared" si="0"/>
        <v>2</v>
      </c>
      <c r="S23" s="40">
        <f t="shared" si="0"/>
        <v>5</v>
      </c>
      <c r="T23" s="40">
        <f t="shared" si="0"/>
        <v>1</v>
      </c>
      <c r="U23" s="40">
        <f t="shared" si="0"/>
        <v>4</v>
      </c>
      <c r="V23" s="40">
        <f t="shared" si="0"/>
        <v>3</v>
      </c>
      <c r="W23" s="40">
        <f t="shared" si="0"/>
        <v>1</v>
      </c>
      <c r="X23" s="40">
        <f t="shared" si="0"/>
        <v>4</v>
      </c>
      <c r="Y23" s="40">
        <f t="shared" si="0"/>
        <v>3</v>
      </c>
      <c r="Z23" s="40">
        <f t="shared" si="0"/>
        <v>1</v>
      </c>
      <c r="AA23" s="40">
        <f t="shared" si="0"/>
        <v>3</v>
      </c>
      <c r="AB23" s="40">
        <f t="shared" si="0"/>
        <v>3</v>
      </c>
      <c r="AC23" s="40">
        <f t="shared" si="0"/>
        <v>2</v>
      </c>
      <c r="AD23" s="40">
        <f t="shared" si="0"/>
        <v>4</v>
      </c>
      <c r="AE23" s="40">
        <f t="shared" si="0"/>
        <v>4</v>
      </c>
      <c r="AF23" s="40">
        <f t="shared" si="0"/>
        <v>0</v>
      </c>
      <c r="AG23" s="40">
        <f t="shared" si="0"/>
        <v>6</v>
      </c>
      <c r="AH23" s="40">
        <f t="shared" si="0"/>
        <v>1</v>
      </c>
      <c r="AI23" s="40">
        <f t="shared" ref="AI23:BN23" si="1">SUM(AI15:AI22)</f>
        <v>1</v>
      </c>
      <c r="AJ23" s="40">
        <f t="shared" si="1"/>
        <v>7</v>
      </c>
      <c r="AK23" s="40">
        <f t="shared" si="1"/>
        <v>1</v>
      </c>
      <c r="AL23" s="40">
        <f t="shared" si="1"/>
        <v>0</v>
      </c>
      <c r="AM23" s="40">
        <f t="shared" si="1"/>
        <v>3</v>
      </c>
      <c r="AN23" s="40">
        <f t="shared" si="1"/>
        <v>5</v>
      </c>
      <c r="AO23" s="40">
        <f t="shared" si="1"/>
        <v>0</v>
      </c>
      <c r="AP23" s="40">
        <f t="shared" si="1"/>
        <v>5</v>
      </c>
      <c r="AQ23" s="40">
        <f t="shared" si="1"/>
        <v>2</v>
      </c>
      <c r="AR23" s="40">
        <f t="shared" si="1"/>
        <v>1</v>
      </c>
      <c r="AS23" s="40">
        <f t="shared" si="1"/>
        <v>4</v>
      </c>
      <c r="AT23" s="40">
        <f t="shared" si="1"/>
        <v>2</v>
      </c>
      <c r="AU23" s="40">
        <f t="shared" si="1"/>
        <v>2</v>
      </c>
      <c r="AV23" s="40">
        <f t="shared" si="1"/>
        <v>5</v>
      </c>
      <c r="AW23" s="40">
        <f t="shared" si="1"/>
        <v>3</v>
      </c>
      <c r="AX23" s="40">
        <f t="shared" si="1"/>
        <v>0</v>
      </c>
      <c r="AY23" s="40">
        <f t="shared" si="1"/>
        <v>5</v>
      </c>
      <c r="AZ23" s="40">
        <f t="shared" si="1"/>
        <v>3</v>
      </c>
      <c r="BA23" s="40">
        <f t="shared" si="1"/>
        <v>0</v>
      </c>
      <c r="BB23" s="40">
        <f t="shared" si="1"/>
        <v>4</v>
      </c>
      <c r="BC23" s="40">
        <f t="shared" si="1"/>
        <v>4</v>
      </c>
      <c r="BD23" s="40">
        <f t="shared" si="1"/>
        <v>0</v>
      </c>
      <c r="BE23" s="40">
        <f t="shared" si="1"/>
        <v>3</v>
      </c>
      <c r="BF23" s="40">
        <f t="shared" si="1"/>
        <v>4</v>
      </c>
      <c r="BG23" s="40">
        <f t="shared" si="1"/>
        <v>1</v>
      </c>
      <c r="BH23" s="40">
        <f t="shared" si="1"/>
        <v>5</v>
      </c>
      <c r="BI23" s="40">
        <f t="shared" si="1"/>
        <v>3</v>
      </c>
      <c r="BJ23" s="40">
        <f t="shared" si="1"/>
        <v>0</v>
      </c>
      <c r="BK23" s="40">
        <f t="shared" si="1"/>
        <v>5</v>
      </c>
      <c r="BL23" s="40">
        <f t="shared" si="1"/>
        <v>2</v>
      </c>
      <c r="BM23" s="40">
        <f t="shared" si="1"/>
        <v>1</v>
      </c>
      <c r="BN23" s="40">
        <f t="shared" si="1"/>
        <v>4</v>
      </c>
      <c r="BO23" s="40">
        <f t="shared" ref="BO23:CT23" si="2">SUM(BO15:BO22)</f>
        <v>3</v>
      </c>
      <c r="BP23" s="40">
        <f t="shared" si="2"/>
        <v>1</v>
      </c>
      <c r="BQ23" s="40">
        <f t="shared" si="2"/>
        <v>3</v>
      </c>
      <c r="BR23" s="40">
        <f t="shared" si="2"/>
        <v>4</v>
      </c>
      <c r="BS23" s="40">
        <f t="shared" si="2"/>
        <v>1</v>
      </c>
      <c r="BT23" s="40">
        <f t="shared" si="2"/>
        <v>3</v>
      </c>
      <c r="BU23" s="40">
        <f t="shared" si="2"/>
        <v>4</v>
      </c>
      <c r="BV23" s="40">
        <f t="shared" si="2"/>
        <v>1</v>
      </c>
      <c r="BW23" s="40">
        <f t="shared" si="2"/>
        <v>3</v>
      </c>
      <c r="BX23" s="40">
        <f t="shared" si="2"/>
        <v>4</v>
      </c>
      <c r="BY23" s="40">
        <f t="shared" si="2"/>
        <v>1</v>
      </c>
      <c r="BZ23" s="40">
        <f t="shared" si="2"/>
        <v>5</v>
      </c>
      <c r="CA23" s="40">
        <f t="shared" si="2"/>
        <v>2</v>
      </c>
      <c r="CB23" s="40">
        <f t="shared" si="2"/>
        <v>1</v>
      </c>
      <c r="CC23" s="40">
        <f t="shared" si="2"/>
        <v>3</v>
      </c>
      <c r="CD23" s="40">
        <f t="shared" si="2"/>
        <v>4</v>
      </c>
      <c r="CE23" s="40">
        <f t="shared" si="2"/>
        <v>1</v>
      </c>
      <c r="CF23" s="40">
        <f t="shared" si="2"/>
        <v>4</v>
      </c>
      <c r="CG23" s="40">
        <f t="shared" si="2"/>
        <v>3</v>
      </c>
      <c r="CH23" s="40">
        <f t="shared" si="2"/>
        <v>1</v>
      </c>
      <c r="CI23" s="40">
        <f t="shared" si="2"/>
        <v>4</v>
      </c>
      <c r="CJ23" s="40">
        <f t="shared" si="2"/>
        <v>3</v>
      </c>
      <c r="CK23" s="40">
        <f t="shared" si="2"/>
        <v>1</v>
      </c>
      <c r="CL23" s="40">
        <f t="shared" si="2"/>
        <v>4</v>
      </c>
      <c r="CM23" s="40">
        <f t="shared" si="2"/>
        <v>3</v>
      </c>
      <c r="CN23" s="40">
        <f t="shared" si="2"/>
        <v>1</v>
      </c>
      <c r="CO23" s="40">
        <f t="shared" si="2"/>
        <v>4</v>
      </c>
      <c r="CP23" s="40">
        <f t="shared" si="2"/>
        <v>3</v>
      </c>
      <c r="CQ23" s="40">
        <f t="shared" si="2"/>
        <v>1</v>
      </c>
      <c r="CR23" s="40">
        <f t="shared" si="2"/>
        <v>5</v>
      </c>
      <c r="CS23" s="40">
        <f t="shared" si="2"/>
        <v>3</v>
      </c>
      <c r="CT23" s="40">
        <f t="shared" si="2"/>
        <v>0</v>
      </c>
      <c r="CU23" s="40">
        <f t="shared" ref="CU23:DR23" si="3">SUM(CU15:CU22)</f>
        <v>6</v>
      </c>
      <c r="CV23" s="40">
        <f t="shared" si="3"/>
        <v>2</v>
      </c>
      <c r="CW23" s="40">
        <f t="shared" si="3"/>
        <v>0</v>
      </c>
      <c r="CX23" s="40">
        <f t="shared" si="3"/>
        <v>6</v>
      </c>
      <c r="CY23" s="40">
        <f t="shared" si="3"/>
        <v>2</v>
      </c>
      <c r="CZ23" s="40">
        <f t="shared" si="3"/>
        <v>0</v>
      </c>
      <c r="DA23" s="40">
        <f t="shared" si="3"/>
        <v>5</v>
      </c>
      <c r="DB23" s="40">
        <f t="shared" si="3"/>
        <v>3</v>
      </c>
      <c r="DC23" s="40">
        <f t="shared" si="3"/>
        <v>0</v>
      </c>
      <c r="DD23" s="40">
        <f t="shared" si="3"/>
        <v>5</v>
      </c>
      <c r="DE23" s="40">
        <f t="shared" si="3"/>
        <v>2</v>
      </c>
      <c r="DF23" s="40">
        <f t="shared" si="3"/>
        <v>1</v>
      </c>
      <c r="DG23" s="40">
        <f t="shared" si="3"/>
        <v>6</v>
      </c>
      <c r="DH23" s="40">
        <f t="shared" si="3"/>
        <v>2</v>
      </c>
      <c r="DI23" s="40">
        <f t="shared" si="3"/>
        <v>0</v>
      </c>
      <c r="DJ23" s="40">
        <f t="shared" si="3"/>
        <v>5</v>
      </c>
      <c r="DK23" s="40">
        <f t="shared" si="3"/>
        <v>3</v>
      </c>
      <c r="DL23" s="40">
        <f t="shared" si="3"/>
        <v>0</v>
      </c>
      <c r="DM23" s="40">
        <f t="shared" si="3"/>
        <v>6</v>
      </c>
      <c r="DN23" s="40">
        <f t="shared" si="3"/>
        <v>2</v>
      </c>
      <c r="DO23" s="40">
        <f t="shared" si="3"/>
        <v>0</v>
      </c>
      <c r="DP23" s="40">
        <f t="shared" si="3"/>
        <v>3</v>
      </c>
      <c r="DQ23" s="40">
        <f t="shared" si="3"/>
        <v>5</v>
      </c>
      <c r="DR23" s="40">
        <f t="shared" si="3"/>
        <v>0</v>
      </c>
    </row>
    <row r="24" spans="1:254" ht="37.5" customHeight="1" x14ac:dyDescent="0.3">
      <c r="A24" s="65" t="s">
        <v>548</v>
      </c>
      <c r="B24" s="66"/>
      <c r="C24" s="43">
        <f>C23/8%</f>
        <v>62.5</v>
      </c>
      <c r="D24" s="43">
        <f t="shared" ref="D24:BO24" si="4">D23/8%</f>
        <v>37.5</v>
      </c>
      <c r="E24" s="43">
        <f t="shared" si="4"/>
        <v>0</v>
      </c>
      <c r="F24" s="43">
        <f t="shared" si="4"/>
        <v>62.5</v>
      </c>
      <c r="G24" s="43">
        <f t="shared" si="4"/>
        <v>25</v>
      </c>
      <c r="H24" s="43">
        <f t="shared" si="4"/>
        <v>12.5</v>
      </c>
      <c r="I24" s="43">
        <f t="shared" si="4"/>
        <v>37.5</v>
      </c>
      <c r="J24" s="43">
        <f t="shared" si="4"/>
        <v>37.5</v>
      </c>
      <c r="K24" s="43">
        <f t="shared" si="4"/>
        <v>25</v>
      </c>
      <c r="L24" s="43">
        <f t="shared" si="4"/>
        <v>50</v>
      </c>
      <c r="M24" s="43">
        <f t="shared" si="4"/>
        <v>37.5</v>
      </c>
      <c r="N24" s="43">
        <f t="shared" si="4"/>
        <v>12.5</v>
      </c>
      <c r="O24" s="43">
        <f t="shared" si="4"/>
        <v>50</v>
      </c>
      <c r="P24" s="43">
        <f t="shared" si="4"/>
        <v>25</v>
      </c>
      <c r="Q24" s="43">
        <f t="shared" si="4"/>
        <v>25</v>
      </c>
      <c r="R24" s="43">
        <f t="shared" si="4"/>
        <v>25</v>
      </c>
      <c r="S24" s="43">
        <f t="shared" si="4"/>
        <v>62.5</v>
      </c>
      <c r="T24" s="43">
        <f t="shared" si="4"/>
        <v>12.5</v>
      </c>
      <c r="U24" s="43">
        <f t="shared" si="4"/>
        <v>50</v>
      </c>
      <c r="V24" s="43">
        <f t="shared" si="4"/>
        <v>37.5</v>
      </c>
      <c r="W24" s="43">
        <f t="shared" si="4"/>
        <v>12.5</v>
      </c>
      <c r="X24" s="43">
        <f t="shared" si="4"/>
        <v>50</v>
      </c>
      <c r="Y24" s="43">
        <f t="shared" si="4"/>
        <v>37.5</v>
      </c>
      <c r="Z24" s="43">
        <f t="shared" si="4"/>
        <v>12.5</v>
      </c>
      <c r="AA24" s="43">
        <f t="shared" si="4"/>
        <v>37.5</v>
      </c>
      <c r="AB24" s="43">
        <f t="shared" si="4"/>
        <v>37.5</v>
      </c>
      <c r="AC24" s="43">
        <f t="shared" si="4"/>
        <v>25</v>
      </c>
      <c r="AD24" s="43">
        <f t="shared" si="4"/>
        <v>50</v>
      </c>
      <c r="AE24" s="43">
        <f t="shared" si="4"/>
        <v>50</v>
      </c>
      <c r="AF24" s="43">
        <f t="shared" si="4"/>
        <v>0</v>
      </c>
      <c r="AG24" s="43">
        <f t="shared" si="4"/>
        <v>75</v>
      </c>
      <c r="AH24" s="43">
        <f t="shared" si="4"/>
        <v>12.5</v>
      </c>
      <c r="AI24" s="43">
        <f t="shared" si="4"/>
        <v>12.5</v>
      </c>
      <c r="AJ24" s="43">
        <f t="shared" si="4"/>
        <v>87.5</v>
      </c>
      <c r="AK24" s="43">
        <f t="shared" si="4"/>
        <v>12.5</v>
      </c>
      <c r="AL24" s="43">
        <f t="shared" si="4"/>
        <v>0</v>
      </c>
      <c r="AM24" s="43">
        <f t="shared" si="4"/>
        <v>37.5</v>
      </c>
      <c r="AN24" s="43">
        <f t="shared" si="4"/>
        <v>62.5</v>
      </c>
      <c r="AO24" s="43">
        <f t="shared" si="4"/>
        <v>0</v>
      </c>
      <c r="AP24" s="43">
        <f t="shared" si="4"/>
        <v>62.5</v>
      </c>
      <c r="AQ24" s="43">
        <f t="shared" si="4"/>
        <v>25</v>
      </c>
      <c r="AR24" s="43">
        <f t="shared" si="4"/>
        <v>12.5</v>
      </c>
      <c r="AS24" s="43">
        <f t="shared" si="4"/>
        <v>50</v>
      </c>
      <c r="AT24" s="43">
        <f t="shared" si="4"/>
        <v>25</v>
      </c>
      <c r="AU24" s="43">
        <f t="shared" si="4"/>
        <v>25</v>
      </c>
      <c r="AV24" s="43">
        <f t="shared" si="4"/>
        <v>62.5</v>
      </c>
      <c r="AW24" s="43">
        <f t="shared" si="4"/>
        <v>37.5</v>
      </c>
      <c r="AX24" s="43">
        <f t="shared" si="4"/>
        <v>0</v>
      </c>
      <c r="AY24" s="43">
        <f t="shared" si="4"/>
        <v>62.5</v>
      </c>
      <c r="AZ24" s="43">
        <f t="shared" si="4"/>
        <v>37.5</v>
      </c>
      <c r="BA24" s="43">
        <f t="shared" si="4"/>
        <v>0</v>
      </c>
      <c r="BB24" s="43">
        <f t="shared" si="4"/>
        <v>50</v>
      </c>
      <c r="BC24" s="43">
        <f t="shared" si="4"/>
        <v>50</v>
      </c>
      <c r="BD24" s="43">
        <f t="shared" si="4"/>
        <v>0</v>
      </c>
      <c r="BE24" s="43">
        <f t="shared" si="4"/>
        <v>37.5</v>
      </c>
      <c r="BF24" s="43">
        <f t="shared" si="4"/>
        <v>50</v>
      </c>
      <c r="BG24" s="43">
        <f t="shared" si="4"/>
        <v>12.5</v>
      </c>
      <c r="BH24" s="43">
        <f t="shared" si="4"/>
        <v>62.5</v>
      </c>
      <c r="BI24" s="43">
        <f t="shared" si="4"/>
        <v>37.5</v>
      </c>
      <c r="BJ24" s="43">
        <f t="shared" si="4"/>
        <v>0</v>
      </c>
      <c r="BK24" s="43">
        <f t="shared" si="4"/>
        <v>62.5</v>
      </c>
      <c r="BL24" s="43">
        <f t="shared" si="4"/>
        <v>25</v>
      </c>
      <c r="BM24" s="43">
        <f t="shared" si="4"/>
        <v>12.5</v>
      </c>
      <c r="BN24" s="43">
        <f t="shared" si="4"/>
        <v>50</v>
      </c>
      <c r="BO24" s="43">
        <f t="shared" si="4"/>
        <v>37.5</v>
      </c>
      <c r="BP24" s="43">
        <f t="shared" ref="BP24:DR24" si="5">BP23/8%</f>
        <v>12.5</v>
      </c>
      <c r="BQ24" s="43">
        <f t="shared" si="5"/>
        <v>37.5</v>
      </c>
      <c r="BR24" s="43">
        <f t="shared" si="5"/>
        <v>50</v>
      </c>
      <c r="BS24" s="43">
        <f t="shared" si="5"/>
        <v>12.5</v>
      </c>
      <c r="BT24" s="43">
        <f t="shared" si="5"/>
        <v>37.5</v>
      </c>
      <c r="BU24" s="43">
        <f t="shared" si="5"/>
        <v>50</v>
      </c>
      <c r="BV24" s="43">
        <f t="shared" si="5"/>
        <v>12.5</v>
      </c>
      <c r="BW24" s="43">
        <f t="shared" si="5"/>
        <v>37.5</v>
      </c>
      <c r="BX24" s="43">
        <f t="shared" si="5"/>
        <v>50</v>
      </c>
      <c r="BY24" s="43">
        <f t="shared" si="5"/>
        <v>12.5</v>
      </c>
      <c r="BZ24" s="43">
        <f t="shared" si="5"/>
        <v>62.5</v>
      </c>
      <c r="CA24" s="43">
        <f t="shared" si="5"/>
        <v>25</v>
      </c>
      <c r="CB24" s="43">
        <f t="shared" si="5"/>
        <v>12.5</v>
      </c>
      <c r="CC24" s="43">
        <f t="shared" si="5"/>
        <v>37.5</v>
      </c>
      <c r="CD24" s="43">
        <f t="shared" si="5"/>
        <v>50</v>
      </c>
      <c r="CE24" s="43">
        <f t="shared" si="5"/>
        <v>12.5</v>
      </c>
      <c r="CF24" s="43">
        <f t="shared" si="5"/>
        <v>50</v>
      </c>
      <c r="CG24" s="43">
        <f t="shared" si="5"/>
        <v>37.5</v>
      </c>
      <c r="CH24" s="43">
        <f t="shared" si="5"/>
        <v>12.5</v>
      </c>
      <c r="CI24" s="43">
        <f t="shared" si="5"/>
        <v>50</v>
      </c>
      <c r="CJ24" s="43">
        <f t="shared" si="5"/>
        <v>37.5</v>
      </c>
      <c r="CK24" s="43">
        <f t="shared" si="5"/>
        <v>12.5</v>
      </c>
      <c r="CL24" s="43">
        <f t="shared" si="5"/>
        <v>50</v>
      </c>
      <c r="CM24" s="43">
        <f t="shared" si="5"/>
        <v>37.5</v>
      </c>
      <c r="CN24" s="43">
        <f t="shared" si="5"/>
        <v>12.5</v>
      </c>
      <c r="CO24" s="43">
        <f t="shared" si="5"/>
        <v>50</v>
      </c>
      <c r="CP24" s="43">
        <f t="shared" si="5"/>
        <v>37.5</v>
      </c>
      <c r="CQ24" s="43">
        <f t="shared" si="5"/>
        <v>12.5</v>
      </c>
      <c r="CR24" s="43">
        <f t="shared" si="5"/>
        <v>62.5</v>
      </c>
      <c r="CS24" s="43">
        <f t="shared" si="5"/>
        <v>37.5</v>
      </c>
      <c r="CT24" s="43">
        <f t="shared" si="5"/>
        <v>0</v>
      </c>
      <c r="CU24" s="43">
        <f t="shared" si="5"/>
        <v>75</v>
      </c>
      <c r="CV24" s="43">
        <f t="shared" si="5"/>
        <v>25</v>
      </c>
      <c r="CW24" s="43">
        <f t="shared" si="5"/>
        <v>0</v>
      </c>
      <c r="CX24" s="43">
        <f t="shared" si="5"/>
        <v>75</v>
      </c>
      <c r="CY24" s="43">
        <f t="shared" si="5"/>
        <v>25</v>
      </c>
      <c r="CZ24" s="43">
        <f t="shared" si="5"/>
        <v>0</v>
      </c>
      <c r="DA24" s="43">
        <f t="shared" si="5"/>
        <v>62.5</v>
      </c>
      <c r="DB24" s="43">
        <f t="shared" si="5"/>
        <v>37.5</v>
      </c>
      <c r="DC24" s="43">
        <f t="shared" si="5"/>
        <v>0</v>
      </c>
      <c r="DD24" s="43">
        <f t="shared" si="5"/>
        <v>62.5</v>
      </c>
      <c r="DE24" s="43">
        <f t="shared" si="5"/>
        <v>25</v>
      </c>
      <c r="DF24" s="43">
        <f t="shared" si="5"/>
        <v>12.5</v>
      </c>
      <c r="DG24" s="43">
        <f t="shared" si="5"/>
        <v>75</v>
      </c>
      <c r="DH24" s="43">
        <f t="shared" si="5"/>
        <v>25</v>
      </c>
      <c r="DI24" s="43">
        <f t="shared" si="5"/>
        <v>0</v>
      </c>
      <c r="DJ24" s="43">
        <f t="shared" si="5"/>
        <v>62.5</v>
      </c>
      <c r="DK24" s="43">
        <f t="shared" si="5"/>
        <v>37.5</v>
      </c>
      <c r="DL24" s="43">
        <f t="shared" si="5"/>
        <v>0</v>
      </c>
      <c r="DM24" s="43">
        <f t="shared" si="5"/>
        <v>75</v>
      </c>
      <c r="DN24" s="43">
        <f t="shared" si="5"/>
        <v>25</v>
      </c>
      <c r="DO24" s="43">
        <f t="shared" si="5"/>
        <v>0</v>
      </c>
      <c r="DP24" s="43">
        <f t="shared" si="5"/>
        <v>37.5</v>
      </c>
      <c r="DQ24" s="43">
        <f t="shared" si="5"/>
        <v>62.5</v>
      </c>
      <c r="DR24" s="43">
        <f t="shared" si="5"/>
        <v>0</v>
      </c>
    </row>
    <row r="26" spans="1:254" x14ac:dyDescent="0.3">
      <c r="B26" s="67" t="s">
        <v>240</v>
      </c>
      <c r="C26" s="68"/>
      <c r="D26" s="68"/>
      <c r="E26" s="69"/>
      <c r="F26" s="18"/>
      <c r="G26" s="18"/>
    </row>
    <row r="27" spans="1:254" x14ac:dyDescent="0.3">
      <c r="B27" s="4" t="s">
        <v>241</v>
      </c>
      <c r="C27" s="26" t="s">
        <v>549</v>
      </c>
      <c r="D27" s="27">
        <f>E27/100*8</f>
        <v>4.25</v>
      </c>
      <c r="E27" s="27">
        <f>(C24+F24+I24+L24)/4</f>
        <v>53.125</v>
      </c>
    </row>
    <row r="28" spans="1:254" x14ac:dyDescent="0.3">
      <c r="B28" s="4" t="s">
        <v>242</v>
      </c>
      <c r="C28" s="26" t="s">
        <v>549</v>
      </c>
      <c r="D28" s="27">
        <f t="shared" ref="D28:D29" si="6">E28/100*8</f>
        <v>2.75</v>
      </c>
      <c r="E28" s="27">
        <f>(D24+G24+J24+M24)/4</f>
        <v>34.375</v>
      </c>
    </row>
    <row r="29" spans="1:254" x14ac:dyDescent="0.3">
      <c r="B29" s="4" t="s">
        <v>243</v>
      </c>
      <c r="C29" s="26" t="s">
        <v>549</v>
      </c>
      <c r="D29" s="47">
        <f t="shared" si="6"/>
        <v>1</v>
      </c>
      <c r="E29" s="27">
        <f>(E24+H24+K24+N24)/4</f>
        <v>12.5</v>
      </c>
    </row>
    <row r="30" spans="1:254" x14ac:dyDescent="0.3">
      <c r="B30" s="4"/>
      <c r="C30" s="26"/>
      <c r="D30" s="24">
        <f>SUM(D27:D29)</f>
        <v>8</v>
      </c>
      <c r="E30" s="25">
        <f>SUM(E27:E29)</f>
        <v>100</v>
      </c>
    </row>
    <row r="31" spans="1:254" ht="15" customHeight="1" x14ac:dyDescent="0.3">
      <c r="B31" s="4"/>
      <c r="C31" s="4"/>
      <c r="D31" s="56" t="s">
        <v>555</v>
      </c>
      <c r="E31" s="57"/>
      <c r="F31" s="58" t="s">
        <v>3</v>
      </c>
      <c r="G31" s="59"/>
    </row>
    <row r="32" spans="1:254" x14ac:dyDescent="0.3">
      <c r="B32" s="4" t="s">
        <v>241</v>
      </c>
      <c r="C32" s="26" t="s">
        <v>550</v>
      </c>
      <c r="D32" s="27">
        <f>E32/100*8</f>
        <v>3.5</v>
      </c>
      <c r="E32" s="27">
        <f>(O24+R24+U24+X24)/4</f>
        <v>43.75</v>
      </c>
      <c r="F32" s="41">
        <f>G32/100*8</f>
        <v>5</v>
      </c>
      <c r="G32" s="27">
        <f>(AA24+AD24+AG24+AJ24)/4</f>
        <v>62.5</v>
      </c>
    </row>
    <row r="33" spans="2:13" x14ac:dyDescent="0.3">
      <c r="B33" s="4" t="s">
        <v>242</v>
      </c>
      <c r="C33" s="26" t="s">
        <v>550</v>
      </c>
      <c r="D33" s="27">
        <f t="shared" ref="D33:D34" si="7">E33/100*8</f>
        <v>3.25</v>
      </c>
      <c r="E33" s="27">
        <f>(P24+S24+V24+Y24)/4</f>
        <v>40.625</v>
      </c>
      <c r="F33" s="54">
        <f t="shared" ref="F33:F34" si="8">G33/100*8</f>
        <v>2.25</v>
      </c>
      <c r="G33" s="27">
        <f>(AB24+AE24+AH24+AK24)/4</f>
        <v>28.125</v>
      </c>
    </row>
    <row r="34" spans="2:13" x14ac:dyDescent="0.3">
      <c r="B34" s="4" t="s">
        <v>243</v>
      </c>
      <c r="C34" s="26" t="s">
        <v>550</v>
      </c>
      <c r="D34" s="27">
        <f t="shared" si="7"/>
        <v>1.25</v>
      </c>
      <c r="E34" s="27">
        <f>(Q24+T24+W24+Z24)/4</f>
        <v>15.625</v>
      </c>
      <c r="F34" s="54">
        <f t="shared" si="8"/>
        <v>0.75</v>
      </c>
      <c r="G34" s="27">
        <f>(AC24+AF24+AI24+AL24)/4</f>
        <v>9.375</v>
      </c>
    </row>
    <row r="35" spans="2:13" x14ac:dyDescent="0.3">
      <c r="B35" s="4"/>
      <c r="C35" s="26"/>
      <c r="D35" s="25">
        <f>SUM(D32:D34)</f>
        <v>8</v>
      </c>
      <c r="E35" s="25">
        <f>SUM(E32:E34)</f>
        <v>100</v>
      </c>
      <c r="F35" s="44">
        <f>SUM(F32:F34)</f>
        <v>8</v>
      </c>
      <c r="G35" s="45">
        <f>SUM(G32:G34)</f>
        <v>100</v>
      </c>
    </row>
    <row r="36" spans="2:13" x14ac:dyDescent="0.3">
      <c r="B36" s="4" t="s">
        <v>241</v>
      </c>
      <c r="C36" s="26" t="s">
        <v>551</v>
      </c>
      <c r="D36" s="27">
        <f>E36/100*8</f>
        <v>4.25</v>
      </c>
      <c r="E36" s="27">
        <f>(AM24+AP24+AS24+AV24)/4</f>
        <v>53.125</v>
      </c>
    </row>
    <row r="37" spans="2:13" x14ac:dyDescent="0.3">
      <c r="B37" s="4" t="s">
        <v>242</v>
      </c>
      <c r="C37" s="26" t="s">
        <v>551</v>
      </c>
      <c r="D37" s="47">
        <f t="shared" ref="D37:D38" si="9">E37/100*8</f>
        <v>3</v>
      </c>
      <c r="E37" s="27">
        <f>(AN24+AQ24+AT24+AW24)/4</f>
        <v>37.5</v>
      </c>
    </row>
    <row r="38" spans="2:13" x14ac:dyDescent="0.3">
      <c r="B38" s="4" t="s">
        <v>243</v>
      </c>
      <c r="C38" s="26" t="s">
        <v>551</v>
      </c>
      <c r="D38" s="27">
        <f t="shared" si="9"/>
        <v>0.75</v>
      </c>
      <c r="E38" s="27">
        <f>(AO24+AR24+AU24+AX24)/4</f>
        <v>9.375</v>
      </c>
    </row>
    <row r="39" spans="2:13" x14ac:dyDescent="0.3">
      <c r="B39" s="4"/>
      <c r="C39" s="31"/>
      <c r="D39" s="28">
        <f>SUM(D36:D38)</f>
        <v>8</v>
      </c>
      <c r="E39" s="29">
        <f>SUM(E36:E38)</f>
        <v>100</v>
      </c>
      <c r="F39" s="30"/>
    </row>
    <row r="40" spans="2:13" x14ac:dyDescent="0.3">
      <c r="B40" s="4"/>
      <c r="C40" s="26"/>
      <c r="D40" s="56" t="s">
        <v>30</v>
      </c>
      <c r="E40" s="57"/>
      <c r="F40" s="56" t="s">
        <v>24</v>
      </c>
      <c r="G40" s="57"/>
      <c r="H40" s="60" t="s">
        <v>31</v>
      </c>
      <c r="I40" s="61"/>
      <c r="J40" s="55" t="s">
        <v>32</v>
      </c>
      <c r="K40" s="55"/>
      <c r="L40" s="55" t="s">
        <v>25</v>
      </c>
      <c r="M40" s="55"/>
    </row>
    <row r="41" spans="2:13" x14ac:dyDescent="0.3">
      <c r="B41" s="4" t="s">
        <v>241</v>
      </c>
      <c r="C41" s="26" t="s">
        <v>552</v>
      </c>
      <c r="D41" s="27">
        <f>E41/100*8</f>
        <v>4.25</v>
      </c>
      <c r="E41" s="27">
        <f>(AY24+BB24+BE24+BH24)/4</f>
        <v>53.125</v>
      </c>
      <c r="F41" s="27">
        <f>G41/100*8</f>
        <v>3.75</v>
      </c>
      <c r="G41" s="27">
        <f>(BK24+BN24+BQ24+BT24)/4</f>
        <v>46.875</v>
      </c>
      <c r="H41" s="27">
        <f>I41/100*8</f>
        <v>3.75</v>
      </c>
      <c r="I41" s="27">
        <f>(BW24+BZ24+CC24+CF24)/4</f>
        <v>46.875</v>
      </c>
      <c r="J41" s="27">
        <f>K41/100*8</f>
        <v>4.25</v>
      </c>
      <c r="K41" s="27">
        <f>(CI24+CL24+CO24+CR24)/4</f>
        <v>53.125</v>
      </c>
      <c r="L41" s="27">
        <f>M41/100*8</f>
        <v>5.5</v>
      </c>
      <c r="M41" s="27">
        <f>(CU24+CX24+DA24+DD24)/4</f>
        <v>68.75</v>
      </c>
    </row>
    <row r="42" spans="2:13" x14ac:dyDescent="0.3">
      <c r="B42" s="4" t="s">
        <v>242</v>
      </c>
      <c r="C42" s="26" t="s">
        <v>552</v>
      </c>
      <c r="D42" s="27">
        <f t="shared" ref="D42:D43" si="10">E42/100*8</f>
        <v>3.5</v>
      </c>
      <c r="E42" s="27">
        <f>(AZ24+BC24+BF24+BI24)/4</f>
        <v>43.75</v>
      </c>
      <c r="F42" s="27">
        <f t="shared" ref="F42:F43" si="11">G42/100*8</f>
        <v>3.25</v>
      </c>
      <c r="G42" s="27">
        <f>(BL24+BO24+BR24+BU24)/4</f>
        <v>40.625</v>
      </c>
      <c r="H42" s="27">
        <f t="shared" ref="H42:H43" si="12">I42/100*8</f>
        <v>3.25</v>
      </c>
      <c r="I42" s="27">
        <f>(BX24+CA24+CD24+CG24)/4</f>
        <v>40.625</v>
      </c>
      <c r="J42" s="47">
        <f t="shared" ref="J42:J43" si="13">K42/100*8</f>
        <v>3</v>
      </c>
      <c r="K42" s="27">
        <f>(CJ24+CM24+CP24+CS24)/4</f>
        <v>37.5</v>
      </c>
      <c r="L42" s="27">
        <f t="shared" ref="L42:L43" si="14">M42/100*8</f>
        <v>2.25</v>
      </c>
      <c r="M42" s="27">
        <f>(CV24+CY24+DB24+DE24)/4</f>
        <v>28.125</v>
      </c>
    </row>
    <row r="43" spans="2:13" x14ac:dyDescent="0.3">
      <c r="B43" s="4" t="s">
        <v>243</v>
      </c>
      <c r="C43" s="26" t="s">
        <v>552</v>
      </c>
      <c r="D43" s="27">
        <f t="shared" si="10"/>
        <v>0.25</v>
      </c>
      <c r="E43" s="27">
        <f>(BA24+BD24+BG24+BJ24)/4</f>
        <v>3.125</v>
      </c>
      <c r="F43" s="47">
        <f t="shared" si="11"/>
        <v>1</v>
      </c>
      <c r="G43" s="27">
        <f>(BM24+BP24+BS24+BV24)/4</f>
        <v>12.5</v>
      </c>
      <c r="H43" s="47">
        <f t="shared" si="12"/>
        <v>1</v>
      </c>
      <c r="I43" s="27">
        <f>(BY24+CB24+CE24+CH24)/4</f>
        <v>12.5</v>
      </c>
      <c r="J43" s="27">
        <f t="shared" si="13"/>
        <v>0.75</v>
      </c>
      <c r="K43" s="27">
        <f>(CK24+CN24+CQ24+CT24)/4</f>
        <v>9.375</v>
      </c>
      <c r="L43" s="27">
        <f t="shared" si="14"/>
        <v>0.25</v>
      </c>
      <c r="M43" s="27">
        <f>(CW24+CZ24+DC24+DF24)/4</f>
        <v>3.125</v>
      </c>
    </row>
    <row r="44" spans="2:13" x14ac:dyDescent="0.3">
      <c r="B44" s="4"/>
      <c r="C44" s="26"/>
      <c r="D44" s="24">
        <f>SUM(D41:D43)</f>
        <v>8</v>
      </c>
      <c r="E44" s="24">
        <f>SUM(E41:E43)</f>
        <v>100</v>
      </c>
      <c r="F44" s="24">
        <f t="shared" ref="F44:M44" si="15">SUM(F41:F43)</f>
        <v>8</v>
      </c>
      <c r="G44" s="24">
        <f t="shared" si="15"/>
        <v>100</v>
      </c>
      <c r="H44" s="24">
        <f t="shared" si="15"/>
        <v>8</v>
      </c>
      <c r="I44" s="24">
        <f t="shared" si="15"/>
        <v>100</v>
      </c>
      <c r="J44" s="24">
        <f t="shared" si="15"/>
        <v>8</v>
      </c>
      <c r="K44" s="24">
        <f t="shared" si="15"/>
        <v>100</v>
      </c>
      <c r="L44" s="24">
        <f t="shared" si="15"/>
        <v>8</v>
      </c>
      <c r="M44" s="24">
        <f t="shared" si="15"/>
        <v>100</v>
      </c>
    </row>
    <row r="45" spans="2:13" x14ac:dyDescent="0.3">
      <c r="B45" s="4" t="s">
        <v>241</v>
      </c>
      <c r="C45" s="26" t="s">
        <v>553</v>
      </c>
      <c r="D45" s="40">
        <f>E45/100*8</f>
        <v>5</v>
      </c>
      <c r="E45" s="27">
        <f>(DG24+DJ24+DM24+DP24)/4</f>
        <v>62.5</v>
      </c>
    </row>
    <row r="46" spans="2:13" x14ac:dyDescent="0.3">
      <c r="B46" s="4" t="s">
        <v>242</v>
      </c>
      <c r="C46" s="26" t="s">
        <v>553</v>
      </c>
      <c r="D46" s="27">
        <f t="shared" ref="D46:D47" si="16">E46/100*8</f>
        <v>3</v>
      </c>
      <c r="E46" s="27">
        <f>(DH24+DK24+DN24+DQ24)/4</f>
        <v>37.5</v>
      </c>
    </row>
    <row r="47" spans="2:13" x14ac:dyDescent="0.3">
      <c r="B47" s="4" t="s">
        <v>243</v>
      </c>
      <c r="C47" s="26" t="s">
        <v>553</v>
      </c>
      <c r="D47" s="47">
        <f t="shared" si="16"/>
        <v>0</v>
      </c>
      <c r="E47" s="27">
        <f>(DI24+DL24+DO24+DR24)/4</f>
        <v>0</v>
      </c>
    </row>
    <row r="48" spans="2:13" x14ac:dyDescent="0.3">
      <c r="B48" s="4"/>
      <c r="C48" s="26"/>
      <c r="D48" s="24">
        <f>SUM(D45:D47)</f>
        <v>8</v>
      </c>
      <c r="E48" s="24">
        <f>SUM(E45:E47)</f>
        <v>100</v>
      </c>
    </row>
  </sheetData>
  <mergeCells count="109">
    <mergeCell ref="DP12:DR12"/>
    <mergeCell ref="CX12:CZ12"/>
    <mergeCell ref="DA12:DC12"/>
    <mergeCell ref="DD12:DF12"/>
    <mergeCell ref="A2:N2"/>
    <mergeCell ref="DP2:DQ2"/>
    <mergeCell ref="A5:A14"/>
    <mergeCell ref="B5:B14"/>
    <mergeCell ref="C5:N5"/>
    <mergeCell ref="O5:AL5"/>
    <mergeCell ref="AM5:AX5"/>
    <mergeCell ref="AY5:DF5"/>
    <mergeCell ref="DG5:DR5"/>
    <mergeCell ref="C6:N11"/>
    <mergeCell ref="C12:E12"/>
    <mergeCell ref="F12:H12"/>
    <mergeCell ref="I12:K12"/>
    <mergeCell ref="L12:N12"/>
    <mergeCell ref="O12:Q12"/>
    <mergeCell ref="R12:T12"/>
    <mergeCell ref="U12:W12"/>
    <mergeCell ref="O6:Z6"/>
    <mergeCell ref="AA6:AL6"/>
    <mergeCell ref="X12:Z12"/>
    <mergeCell ref="R13:T13"/>
    <mergeCell ref="U13:W13"/>
    <mergeCell ref="CR12:CT12"/>
    <mergeCell ref="CU12:CW12"/>
    <mergeCell ref="AM12:AO12"/>
    <mergeCell ref="CI6:CT6"/>
    <mergeCell ref="CU6:DF6"/>
    <mergeCell ref="BH12:BJ12"/>
    <mergeCell ref="BK12:BM12"/>
    <mergeCell ref="AA12:AC12"/>
    <mergeCell ref="AD12:AF12"/>
    <mergeCell ref="AG12:AI12"/>
    <mergeCell ref="AJ12:AL12"/>
    <mergeCell ref="DG6:DR6"/>
    <mergeCell ref="AM6:AX6"/>
    <mergeCell ref="AY6:BJ6"/>
    <mergeCell ref="BK6:BV6"/>
    <mergeCell ref="BW6:CH6"/>
    <mergeCell ref="BN12:BP12"/>
    <mergeCell ref="BQ12:BS12"/>
    <mergeCell ref="BT12:BV12"/>
    <mergeCell ref="BW12:BY12"/>
    <mergeCell ref="AP12:AR12"/>
    <mergeCell ref="AS12:AU12"/>
    <mergeCell ref="AV12:AX12"/>
    <mergeCell ref="AY12:BA12"/>
    <mergeCell ref="BB12:BD12"/>
    <mergeCell ref="BE12:BG12"/>
    <mergeCell ref="DJ12:DL12"/>
    <mergeCell ref="DM12:DO12"/>
    <mergeCell ref="DG12:DI12"/>
    <mergeCell ref="BZ12:CB12"/>
    <mergeCell ref="CC12:CE12"/>
    <mergeCell ref="CF12:CH12"/>
    <mergeCell ref="CI12:CK12"/>
    <mergeCell ref="CL12:CN12"/>
    <mergeCell ref="CO12:CQ12"/>
    <mergeCell ref="DP13:DR13"/>
    <mergeCell ref="A23:B23"/>
    <mergeCell ref="A24:B24"/>
    <mergeCell ref="B26:E26"/>
    <mergeCell ref="CR13:CT13"/>
    <mergeCell ref="CU13:CW13"/>
    <mergeCell ref="CX13:CZ13"/>
    <mergeCell ref="DA13:DC13"/>
    <mergeCell ref="DD13:DF13"/>
    <mergeCell ref="DG13:DI13"/>
    <mergeCell ref="BZ13:CB13"/>
    <mergeCell ref="CC13:CE13"/>
    <mergeCell ref="CF13:CH13"/>
    <mergeCell ref="CI13:CK13"/>
    <mergeCell ref="CL13:CN13"/>
    <mergeCell ref="CO13:CQ13"/>
    <mergeCell ref="BH13:BJ13"/>
    <mergeCell ref="BK13:BM13"/>
    <mergeCell ref="BN13:BP13"/>
    <mergeCell ref="BQ13:BS13"/>
    <mergeCell ref="BT13:BV13"/>
    <mergeCell ref="BW13:BY13"/>
    <mergeCell ref="AP13:AR13"/>
    <mergeCell ref="AS13:AU13"/>
    <mergeCell ref="L40:M40"/>
    <mergeCell ref="D31:E31"/>
    <mergeCell ref="F31:G31"/>
    <mergeCell ref="D40:E40"/>
    <mergeCell ref="F40:G40"/>
    <mergeCell ref="H40:I40"/>
    <mergeCell ref="J40:K40"/>
    <mergeCell ref="DJ13:DL13"/>
    <mergeCell ref="DM13:DO13"/>
    <mergeCell ref="AV13:AX13"/>
    <mergeCell ref="AY13:BA13"/>
    <mergeCell ref="BB13:BD13"/>
    <mergeCell ref="BE13:BG13"/>
    <mergeCell ref="X13:Z13"/>
    <mergeCell ref="AA13:AC13"/>
    <mergeCell ref="AD13:AF13"/>
    <mergeCell ref="AG13:AI13"/>
    <mergeCell ref="AJ13:AL13"/>
    <mergeCell ref="AM13:AO13"/>
    <mergeCell ref="C13:E13"/>
    <mergeCell ref="F13:H13"/>
    <mergeCell ref="I13:K13"/>
    <mergeCell ref="L13:N13"/>
    <mergeCell ref="O13:Q13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2"/>
  <sheetViews>
    <sheetView topLeftCell="A17" workbookViewId="0">
      <selection activeCell="N41" sqref="N41"/>
    </sheetView>
  </sheetViews>
  <sheetFormatPr defaultRowHeight="14.4" x14ac:dyDescent="0.3"/>
  <cols>
    <col min="1" max="1" width="4.44140625" customWidth="1"/>
    <col min="2" max="2" width="48.88671875" customWidth="1"/>
  </cols>
  <sheetData>
    <row r="1" spans="1:254" ht="15.6" x14ac:dyDescent="0.3">
      <c r="A1" s="6" t="s">
        <v>29</v>
      </c>
      <c r="B1" s="12" t="s">
        <v>57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73" t="s">
        <v>558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"/>
      <c r="V2" s="7"/>
      <c r="W2" s="7"/>
      <c r="X2" s="7"/>
      <c r="Y2" s="7"/>
      <c r="Z2" s="7"/>
      <c r="AA2" s="7"/>
      <c r="AB2" s="7"/>
      <c r="GP2" s="74" t="s">
        <v>371</v>
      </c>
      <c r="GQ2" s="74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75" t="s">
        <v>0</v>
      </c>
      <c r="B4" s="75" t="s">
        <v>1</v>
      </c>
      <c r="C4" s="76" t="s">
        <v>14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 t="s">
        <v>2</v>
      </c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8" t="s">
        <v>21</v>
      </c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82" t="s">
        <v>23</v>
      </c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4"/>
      <c r="GA4" s="55" t="s">
        <v>26</v>
      </c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</row>
    <row r="5" spans="1:254" ht="13.5" customHeight="1" x14ac:dyDescent="0.3">
      <c r="A5" s="75"/>
      <c r="B5" s="75"/>
      <c r="C5" s="71" t="s">
        <v>554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 t="s">
        <v>556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 t="s">
        <v>3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 t="s">
        <v>50</v>
      </c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 t="s">
        <v>51</v>
      </c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 t="s">
        <v>30</v>
      </c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2" t="s">
        <v>24</v>
      </c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 t="s">
        <v>31</v>
      </c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 t="s">
        <v>31</v>
      </c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 t="s">
        <v>25</v>
      </c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0" t="s">
        <v>27</v>
      </c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</row>
    <row r="6" spans="1:254" ht="15.6" hidden="1" x14ac:dyDescent="0.3">
      <c r="A6" s="75"/>
      <c r="B6" s="75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75"/>
      <c r="B7" s="75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75"/>
      <c r="B8" s="7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75"/>
      <c r="B9" s="7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75"/>
      <c r="B10" s="75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75"/>
      <c r="B11" s="75"/>
      <c r="C11" s="71" t="s">
        <v>58</v>
      </c>
      <c r="D11" s="71" t="s">
        <v>5</v>
      </c>
      <c r="E11" s="71" t="s">
        <v>6</v>
      </c>
      <c r="F11" s="71" t="s">
        <v>59</v>
      </c>
      <c r="G11" s="71" t="s">
        <v>7</v>
      </c>
      <c r="H11" s="71" t="s">
        <v>8</v>
      </c>
      <c r="I11" s="71" t="s">
        <v>115</v>
      </c>
      <c r="J11" s="71" t="s">
        <v>9</v>
      </c>
      <c r="K11" s="71" t="s">
        <v>10</v>
      </c>
      <c r="L11" s="71" t="s">
        <v>60</v>
      </c>
      <c r="M11" s="71" t="s">
        <v>9</v>
      </c>
      <c r="N11" s="71" t="s">
        <v>10</v>
      </c>
      <c r="O11" s="71" t="s">
        <v>61</v>
      </c>
      <c r="P11" s="71" t="s">
        <v>11</v>
      </c>
      <c r="Q11" s="71" t="s">
        <v>4</v>
      </c>
      <c r="R11" s="71" t="s">
        <v>62</v>
      </c>
      <c r="S11" s="71" t="s">
        <v>6</v>
      </c>
      <c r="T11" s="71" t="s">
        <v>12</v>
      </c>
      <c r="U11" s="71" t="s">
        <v>63</v>
      </c>
      <c r="V11" s="71"/>
      <c r="W11" s="71"/>
      <c r="X11" s="71" t="s">
        <v>64</v>
      </c>
      <c r="Y11" s="71"/>
      <c r="Z11" s="71"/>
      <c r="AA11" s="71" t="s">
        <v>116</v>
      </c>
      <c r="AB11" s="71"/>
      <c r="AC11" s="71"/>
      <c r="AD11" s="71" t="s">
        <v>65</v>
      </c>
      <c r="AE11" s="71"/>
      <c r="AF11" s="71"/>
      <c r="AG11" s="71" t="s">
        <v>66</v>
      </c>
      <c r="AH11" s="71"/>
      <c r="AI11" s="71"/>
      <c r="AJ11" s="71" t="s">
        <v>67</v>
      </c>
      <c r="AK11" s="71"/>
      <c r="AL11" s="71"/>
      <c r="AM11" s="70" t="s">
        <v>68</v>
      </c>
      <c r="AN11" s="70"/>
      <c r="AO11" s="70"/>
      <c r="AP11" s="71" t="s">
        <v>69</v>
      </c>
      <c r="AQ11" s="71"/>
      <c r="AR11" s="71"/>
      <c r="AS11" s="71" t="s">
        <v>70</v>
      </c>
      <c r="AT11" s="71"/>
      <c r="AU11" s="71"/>
      <c r="AV11" s="71" t="s">
        <v>71</v>
      </c>
      <c r="AW11" s="71"/>
      <c r="AX11" s="71"/>
      <c r="AY11" s="71" t="s">
        <v>72</v>
      </c>
      <c r="AZ11" s="71"/>
      <c r="BA11" s="71"/>
      <c r="BB11" s="71" t="s">
        <v>73</v>
      </c>
      <c r="BC11" s="71"/>
      <c r="BD11" s="71"/>
      <c r="BE11" s="70" t="s">
        <v>117</v>
      </c>
      <c r="BF11" s="70"/>
      <c r="BG11" s="70"/>
      <c r="BH11" s="70" t="s">
        <v>74</v>
      </c>
      <c r="BI11" s="70"/>
      <c r="BJ11" s="70"/>
      <c r="BK11" s="71" t="s">
        <v>75</v>
      </c>
      <c r="BL11" s="71"/>
      <c r="BM11" s="71"/>
      <c r="BN11" s="71" t="s">
        <v>76</v>
      </c>
      <c r="BO11" s="71"/>
      <c r="BP11" s="71"/>
      <c r="BQ11" s="70" t="s">
        <v>77</v>
      </c>
      <c r="BR11" s="70"/>
      <c r="BS11" s="70"/>
      <c r="BT11" s="71" t="s">
        <v>78</v>
      </c>
      <c r="BU11" s="71"/>
      <c r="BV11" s="71"/>
      <c r="BW11" s="70" t="s">
        <v>79</v>
      </c>
      <c r="BX11" s="70"/>
      <c r="BY11" s="70"/>
      <c r="BZ11" s="70" t="s">
        <v>80</v>
      </c>
      <c r="CA11" s="70"/>
      <c r="CB11" s="70"/>
      <c r="CC11" s="70" t="s">
        <v>118</v>
      </c>
      <c r="CD11" s="70"/>
      <c r="CE11" s="70"/>
      <c r="CF11" s="70" t="s">
        <v>81</v>
      </c>
      <c r="CG11" s="70"/>
      <c r="CH11" s="70"/>
      <c r="CI11" s="70" t="s">
        <v>82</v>
      </c>
      <c r="CJ11" s="70"/>
      <c r="CK11" s="70"/>
      <c r="CL11" s="70" t="s">
        <v>83</v>
      </c>
      <c r="CM11" s="70"/>
      <c r="CN11" s="70"/>
      <c r="CO11" s="70" t="s">
        <v>84</v>
      </c>
      <c r="CP11" s="70"/>
      <c r="CQ11" s="70"/>
      <c r="CR11" s="70" t="s">
        <v>85</v>
      </c>
      <c r="CS11" s="70"/>
      <c r="CT11" s="70"/>
      <c r="CU11" s="70" t="s">
        <v>119</v>
      </c>
      <c r="CV11" s="70"/>
      <c r="CW11" s="70"/>
      <c r="CX11" s="70" t="s">
        <v>86</v>
      </c>
      <c r="CY11" s="70"/>
      <c r="CZ11" s="70"/>
      <c r="DA11" s="70" t="s">
        <v>87</v>
      </c>
      <c r="DB11" s="70"/>
      <c r="DC11" s="70"/>
      <c r="DD11" s="70" t="s">
        <v>88</v>
      </c>
      <c r="DE11" s="70"/>
      <c r="DF11" s="70"/>
      <c r="DG11" s="70" t="s">
        <v>89</v>
      </c>
      <c r="DH11" s="70"/>
      <c r="DI11" s="70"/>
      <c r="DJ11" s="70" t="s">
        <v>90</v>
      </c>
      <c r="DK11" s="70"/>
      <c r="DL11" s="70"/>
      <c r="DM11" s="70" t="s">
        <v>91</v>
      </c>
      <c r="DN11" s="70"/>
      <c r="DO11" s="70"/>
      <c r="DP11" s="70" t="s">
        <v>92</v>
      </c>
      <c r="DQ11" s="70"/>
      <c r="DR11" s="70"/>
      <c r="DS11" s="70" t="s">
        <v>93</v>
      </c>
      <c r="DT11" s="70"/>
      <c r="DU11" s="70"/>
      <c r="DV11" s="70" t="s">
        <v>94</v>
      </c>
      <c r="DW11" s="70"/>
      <c r="DX11" s="70"/>
      <c r="DY11" s="70" t="s">
        <v>120</v>
      </c>
      <c r="DZ11" s="70"/>
      <c r="EA11" s="70"/>
      <c r="EB11" s="70" t="s">
        <v>95</v>
      </c>
      <c r="EC11" s="70"/>
      <c r="ED11" s="70"/>
      <c r="EE11" s="70" t="s">
        <v>96</v>
      </c>
      <c r="EF11" s="70"/>
      <c r="EG11" s="70"/>
      <c r="EH11" s="70" t="s">
        <v>97</v>
      </c>
      <c r="EI11" s="70"/>
      <c r="EJ11" s="70"/>
      <c r="EK11" s="70" t="s">
        <v>98</v>
      </c>
      <c r="EL11" s="70"/>
      <c r="EM11" s="70"/>
      <c r="EN11" s="70" t="s">
        <v>99</v>
      </c>
      <c r="EO11" s="70"/>
      <c r="EP11" s="70"/>
      <c r="EQ11" s="70" t="s">
        <v>100</v>
      </c>
      <c r="ER11" s="70"/>
      <c r="ES11" s="70"/>
      <c r="ET11" s="70" t="s">
        <v>101</v>
      </c>
      <c r="EU11" s="70"/>
      <c r="EV11" s="70"/>
      <c r="EW11" s="70" t="s">
        <v>102</v>
      </c>
      <c r="EX11" s="70"/>
      <c r="EY11" s="70"/>
      <c r="EZ11" s="70" t="s">
        <v>103</v>
      </c>
      <c r="FA11" s="70"/>
      <c r="FB11" s="70"/>
      <c r="FC11" s="70" t="s">
        <v>121</v>
      </c>
      <c r="FD11" s="70"/>
      <c r="FE11" s="70"/>
      <c r="FF11" s="70" t="s">
        <v>104</v>
      </c>
      <c r="FG11" s="70"/>
      <c r="FH11" s="70"/>
      <c r="FI11" s="70" t="s">
        <v>105</v>
      </c>
      <c r="FJ11" s="70"/>
      <c r="FK11" s="70"/>
      <c r="FL11" s="70" t="s">
        <v>106</v>
      </c>
      <c r="FM11" s="70"/>
      <c r="FN11" s="70"/>
      <c r="FO11" s="70" t="s">
        <v>107</v>
      </c>
      <c r="FP11" s="70"/>
      <c r="FQ11" s="70"/>
      <c r="FR11" s="70" t="s">
        <v>108</v>
      </c>
      <c r="FS11" s="70"/>
      <c r="FT11" s="70"/>
      <c r="FU11" s="70" t="s">
        <v>109</v>
      </c>
      <c r="FV11" s="70"/>
      <c r="FW11" s="70"/>
      <c r="FX11" s="70" t="s">
        <v>122</v>
      </c>
      <c r="FY11" s="70"/>
      <c r="FZ11" s="70"/>
      <c r="GA11" s="70" t="s">
        <v>110</v>
      </c>
      <c r="GB11" s="70"/>
      <c r="GC11" s="70"/>
      <c r="GD11" s="70" t="s">
        <v>111</v>
      </c>
      <c r="GE11" s="70"/>
      <c r="GF11" s="70"/>
      <c r="GG11" s="70" t="s">
        <v>123</v>
      </c>
      <c r="GH11" s="70"/>
      <c r="GI11" s="70"/>
      <c r="GJ11" s="70" t="s">
        <v>112</v>
      </c>
      <c r="GK11" s="70"/>
      <c r="GL11" s="70"/>
      <c r="GM11" s="70" t="s">
        <v>113</v>
      </c>
      <c r="GN11" s="70"/>
      <c r="GO11" s="70"/>
      <c r="GP11" s="70" t="s">
        <v>114</v>
      </c>
      <c r="GQ11" s="70"/>
      <c r="GR11" s="70"/>
    </row>
    <row r="12" spans="1:254" ht="85.5" customHeight="1" x14ac:dyDescent="0.3">
      <c r="A12" s="75"/>
      <c r="B12" s="75"/>
      <c r="C12" s="62" t="s">
        <v>251</v>
      </c>
      <c r="D12" s="62"/>
      <c r="E12" s="62"/>
      <c r="F12" s="62" t="s">
        <v>254</v>
      </c>
      <c r="G12" s="62"/>
      <c r="H12" s="62"/>
      <c r="I12" s="62" t="s">
        <v>257</v>
      </c>
      <c r="J12" s="62"/>
      <c r="K12" s="62"/>
      <c r="L12" s="62" t="s">
        <v>151</v>
      </c>
      <c r="M12" s="62"/>
      <c r="N12" s="62"/>
      <c r="O12" s="62" t="s">
        <v>260</v>
      </c>
      <c r="P12" s="62"/>
      <c r="Q12" s="62"/>
      <c r="R12" s="62" t="s">
        <v>263</v>
      </c>
      <c r="S12" s="62"/>
      <c r="T12" s="62"/>
      <c r="U12" s="62" t="s">
        <v>267</v>
      </c>
      <c r="V12" s="62"/>
      <c r="W12" s="62"/>
      <c r="X12" s="62" t="s">
        <v>152</v>
      </c>
      <c r="Y12" s="62"/>
      <c r="Z12" s="62"/>
      <c r="AA12" s="62" t="s">
        <v>153</v>
      </c>
      <c r="AB12" s="62"/>
      <c r="AC12" s="62"/>
      <c r="AD12" s="62" t="s">
        <v>154</v>
      </c>
      <c r="AE12" s="62"/>
      <c r="AF12" s="62"/>
      <c r="AG12" s="62" t="s">
        <v>272</v>
      </c>
      <c r="AH12" s="62"/>
      <c r="AI12" s="62"/>
      <c r="AJ12" s="62" t="s">
        <v>155</v>
      </c>
      <c r="AK12" s="62"/>
      <c r="AL12" s="62"/>
      <c r="AM12" s="62" t="s">
        <v>156</v>
      </c>
      <c r="AN12" s="62"/>
      <c r="AO12" s="62"/>
      <c r="AP12" s="62" t="s">
        <v>157</v>
      </c>
      <c r="AQ12" s="62"/>
      <c r="AR12" s="62"/>
      <c r="AS12" s="62" t="s">
        <v>275</v>
      </c>
      <c r="AT12" s="62"/>
      <c r="AU12" s="62"/>
      <c r="AV12" s="62" t="s">
        <v>365</v>
      </c>
      <c r="AW12" s="62"/>
      <c r="AX12" s="62"/>
      <c r="AY12" s="62" t="s">
        <v>158</v>
      </c>
      <c r="AZ12" s="62"/>
      <c r="BA12" s="62"/>
      <c r="BB12" s="62" t="s">
        <v>145</v>
      </c>
      <c r="BC12" s="62"/>
      <c r="BD12" s="62"/>
      <c r="BE12" s="62" t="s">
        <v>159</v>
      </c>
      <c r="BF12" s="62"/>
      <c r="BG12" s="62"/>
      <c r="BH12" s="62" t="s">
        <v>281</v>
      </c>
      <c r="BI12" s="62"/>
      <c r="BJ12" s="62"/>
      <c r="BK12" s="62" t="s">
        <v>160</v>
      </c>
      <c r="BL12" s="62"/>
      <c r="BM12" s="62"/>
      <c r="BN12" s="62" t="s">
        <v>161</v>
      </c>
      <c r="BO12" s="62"/>
      <c r="BP12" s="62"/>
      <c r="BQ12" s="62" t="s">
        <v>162</v>
      </c>
      <c r="BR12" s="62"/>
      <c r="BS12" s="62"/>
      <c r="BT12" s="62" t="s">
        <v>163</v>
      </c>
      <c r="BU12" s="62"/>
      <c r="BV12" s="62"/>
      <c r="BW12" s="62" t="s">
        <v>288</v>
      </c>
      <c r="BX12" s="62"/>
      <c r="BY12" s="62"/>
      <c r="BZ12" s="62" t="s">
        <v>170</v>
      </c>
      <c r="CA12" s="62"/>
      <c r="CB12" s="62"/>
      <c r="CC12" s="62" t="s">
        <v>292</v>
      </c>
      <c r="CD12" s="62"/>
      <c r="CE12" s="62"/>
      <c r="CF12" s="62" t="s">
        <v>171</v>
      </c>
      <c r="CG12" s="62"/>
      <c r="CH12" s="62"/>
      <c r="CI12" s="62" t="s">
        <v>172</v>
      </c>
      <c r="CJ12" s="62"/>
      <c r="CK12" s="62"/>
      <c r="CL12" s="62" t="s">
        <v>173</v>
      </c>
      <c r="CM12" s="62"/>
      <c r="CN12" s="62"/>
      <c r="CO12" s="62" t="s">
        <v>214</v>
      </c>
      <c r="CP12" s="62"/>
      <c r="CQ12" s="62"/>
      <c r="CR12" s="62" t="s">
        <v>211</v>
      </c>
      <c r="CS12" s="62"/>
      <c r="CT12" s="62"/>
      <c r="CU12" s="62" t="s">
        <v>215</v>
      </c>
      <c r="CV12" s="62"/>
      <c r="CW12" s="62"/>
      <c r="CX12" s="62" t="s">
        <v>212</v>
      </c>
      <c r="CY12" s="62"/>
      <c r="CZ12" s="62"/>
      <c r="DA12" s="62" t="s">
        <v>213</v>
      </c>
      <c r="DB12" s="62"/>
      <c r="DC12" s="62"/>
      <c r="DD12" s="62" t="s">
        <v>304</v>
      </c>
      <c r="DE12" s="62"/>
      <c r="DF12" s="62"/>
      <c r="DG12" s="62" t="s">
        <v>307</v>
      </c>
      <c r="DH12" s="62"/>
      <c r="DI12" s="62"/>
      <c r="DJ12" s="62" t="s">
        <v>216</v>
      </c>
      <c r="DK12" s="62"/>
      <c r="DL12" s="62"/>
      <c r="DM12" s="62" t="s">
        <v>311</v>
      </c>
      <c r="DN12" s="62"/>
      <c r="DO12" s="62"/>
      <c r="DP12" s="62" t="s">
        <v>217</v>
      </c>
      <c r="DQ12" s="62"/>
      <c r="DR12" s="62"/>
      <c r="DS12" s="62" t="s">
        <v>218</v>
      </c>
      <c r="DT12" s="62"/>
      <c r="DU12" s="62"/>
      <c r="DV12" s="62" t="s">
        <v>319</v>
      </c>
      <c r="DW12" s="62"/>
      <c r="DX12" s="62"/>
      <c r="DY12" s="62" t="s">
        <v>219</v>
      </c>
      <c r="DZ12" s="62"/>
      <c r="EA12" s="62"/>
      <c r="EB12" s="62" t="s">
        <v>220</v>
      </c>
      <c r="EC12" s="62"/>
      <c r="ED12" s="62"/>
      <c r="EE12" s="62" t="s">
        <v>221</v>
      </c>
      <c r="EF12" s="62"/>
      <c r="EG12" s="62"/>
      <c r="EH12" s="62" t="s">
        <v>222</v>
      </c>
      <c r="EI12" s="62"/>
      <c r="EJ12" s="62"/>
      <c r="EK12" s="81" t="s">
        <v>223</v>
      </c>
      <c r="EL12" s="81"/>
      <c r="EM12" s="81"/>
      <c r="EN12" s="62" t="s">
        <v>330</v>
      </c>
      <c r="EO12" s="62"/>
      <c r="EP12" s="62"/>
      <c r="EQ12" s="62" t="s">
        <v>224</v>
      </c>
      <c r="ER12" s="62"/>
      <c r="ES12" s="62"/>
      <c r="ET12" s="62" t="s">
        <v>225</v>
      </c>
      <c r="EU12" s="62"/>
      <c r="EV12" s="62"/>
      <c r="EW12" s="62" t="s">
        <v>336</v>
      </c>
      <c r="EX12" s="62"/>
      <c r="EY12" s="62"/>
      <c r="EZ12" s="62" t="s">
        <v>227</v>
      </c>
      <c r="FA12" s="62"/>
      <c r="FB12" s="62"/>
      <c r="FC12" s="62" t="s">
        <v>228</v>
      </c>
      <c r="FD12" s="62"/>
      <c r="FE12" s="62"/>
      <c r="FF12" s="62" t="s">
        <v>226</v>
      </c>
      <c r="FG12" s="62"/>
      <c r="FH12" s="62"/>
      <c r="FI12" s="62" t="s">
        <v>341</v>
      </c>
      <c r="FJ12" s="62"/>
      <c r="FK12" s="62"/>
      <c r="FL12" s="62" t="s">
        <v>229</v>
      </c>
      <c r="FM12" s="62"/>
      <c r="FN12" s="62"/>
      <c r="FO12" s="62" t="s">
        <v>345</v>
      </c>
      <c r="FP12" s="62"/>
      <c r="FQ12" s="62"/>
      <c r="FR12" s="62" t="s">
        <v>230</v>
      </c>
      <c r="FS12" s="62"/>
      <c r="FT12" s="62"/>
      <c r="FU12" s="81" t="s">
        <v>368</v>
      </c>
      <c r="FV12" s="81"/>
      <c r="FW12" s="81"/>
      <c r="FX12" s="62" t="s">
        <v>369</v>
      </c>
      <c r="FY12" s="62"/>
      <c r="FZ12" s="62"/>
      <c r="GA12" s="62" t="s">
        <v>234</v>
      </c>
      <c r="GB12" s="62"/>
      <c r="GC12" s="62"/>
      <c r="GD12" s="62" t="s">
        <v>351</v>
      </c>
      <c r="GE12" s="62"/>
      <c r="GF12" s="62"/>
      <c r="GG12" s="62" t="s">
        <v>235</v>
      </c>
      <c r="GH12" s="62"/>
      <c r="GI12" s="62"/>
      <c r="GJ12" s="62" t="s">
        <v>357</v>
      </c>
      <c r="GK12" s="62"/>
      <c r="GL12" s="62"/>
      <c r="GM12" s="62" t="s">
        <v>361</v>
      </c>
      <c r="GN12" s="62"/>
      <c r="GO12" s="62"/>
      <c r="GP12" s="62" t="s">
        <v>370</v>
      </c>
      <c r="GQ12" s="62"/>
      <c r="GR12" s="62"/>
    </row>
    <row r="13" spans="1:254" ht="93.75" customHeight="1" thickBot="1" x14ac:dyDescent="0.35">
      <c r="A13" s="75"/>
      <c r="B13" s="75"/>
      <c r="C13" s="33" t="s">
        <v>252</v>
      </c>
      <c r="D13" s="33" t="s">
        <v>253</v>
      </c>
      <c r="E13" s="33" t="s">
        <v>13</v>
      </c>
      <c r="F13" s="33" t="s">
        <v>124</v>
      </c>
      <c r="G13" s="33" t="s">
        <v>255</v>
      </c>
      <c r="H13" s="33" t="s">
        <v>256</v>
      </c>
      <c r="I13" s="33" t="s">
        <v>52</v>
      </c>
      <c r="J13" s="33" t="s">
        <v>258</v>
      </c>
      <c r="K13" s="33" t="s">
        <v>259</v>
      </c>
      <c r="L13" s="33" t="s">
        <v>125</v>
      </c>
      <c r="M13" s="33" t="s">
        <v>126</v>
      </c>
      <c r="N13" s="33" t="s">
        <v>127</v>
      </c>
      <c r="O13" s="33" t="s">
        <v>261</v>
      </c>
      <c r="P13" s="33" t="s">
        <v>261</v>
      </c>
      <c r="Q13" s="33" t="s">
        <v>262</v>
      </c>
      <c r="R13" s="33" t="s">
        <v>264</v>
      </c>
      <c r="S13" s="33" t="s">
        <v>265</v>
      </c>
      <c r="T13" s="33" t="s">
        <v>266</v>
      </c>
      <c r="U13" s="33" t="s">
        <v>268</v>
      </c>
      <c r="V13" s="33" t="s">
        <v>269</v>
      </c>
      <c r="W13" s="33" t="s">
        <v>270</v>
      </c>
      <c r="X13" s="33" t="s">
        <v>34</v>
      </c>
      <c r="Y13" s="33" t="s">
        <v>37</v>
      </c>
      <c r="Z13" s="33" t="s">
        <v>38</v>
      </c>
      <c r="AA13" s="33" t="s">
        <v>128</v>
      </c>
      <c r="AB13" s="33" t="s">
        <v>129</v>
      </c>
      <c r="AC13" s="33" t="s">
        <v>130</v>
      </c>
      <c r="AD13" s="33" t="s">
        <v>131</v>
      </c>
      <c r="AE13" s="33" t="s">
        <v>132</v>
      </c>
      <c r="AF13" s="33" t="s">
        <v>271</v>
      </c>
      <c r="AG13" s="33" t="s">
        <v>133</v>
      </c>
      <c r="AH13" s="33" t="s">
        <v>134</v>
      </c>
      <c r="AI13" s="33" t="s">
        <v>273</v>
      </c>
      <c r="AJ13" s="33" t="s">
        <v>39</v>
      </c>
      <c r="AK13" s="33" t="s">
        <v>274</v>
      </c>
      <c r="AL13" s="33" t="s">
        <v>135</v>
      </c>
      <c r="AM13" s="33" t="s">
        <v>136</v>
      </c>
      <c r="AN13" s="33" t="s">
        <v>137</v>
      </c>
      <c r="AO13" s="33" t="s">
        <v>138</v>
      </c>
      <c r="AP13" s="33" t="s">
        <v>46</v>
      </c>
      <c r="AQ13" s="33" t="s">
        <v>250</v>
      </c>
      <c r="AR13" s="33" t="s">
        <v>47</v>
      </c>
      <c r="AS13" s="33" t="s">
        <v>276</v>
      </c>
      <c r="AT13" s="33" t="s">
        <v>277</v>
      </c>
      <c r="AU13" s="33" t="s">
        <v>20</v>
      </c>
      <c r="AV13" s="33" t="s">
        <v>141</v>
      </c>
      <c r="AW13" s="33" t="s">
        <v>142</v>
      </c>
      <c r="AX13" s="33" t="s">
        <v>143</v>
      </c>
      <c r="AY13" s="33" t="s">
        <v>144</v>
      </c>
      <c r="AZ13" s="33" t="s">
        <v>278</v>
      </c>
      <c r="BA13" s="33" t="s">
        <v>33</v>
      </c>
      <c r="BB13" s="33" t="s">
        <v>279</v>
      </c>
      <c r="BC13" s="33" t="s">
        <v>146</v>
      </c>
      <c r="BD13" s="33" t="s">
        <v>280</v>
      </c>
      <c r="BE13" s="33" t="s">
        <v>18</v>
      </c>
      <c r="BF13" s="33" t="s">
        <v>147</v>
      </c>
      <c r="BG13" s="33" t="s">
        <v>35</v>
      </c>
      <c r="BH13" s="33" t="s">
        <v>282</v>
      </c>
      <c r="BI13" s="33" t="s">
        <v>283</v>
      </c>
      <c r="BJ13" s="33" t="s">
        <v>284</v>
      </c>
      <c r="BK13" s="33" t="s">
        <v>54</v>
      </c>
      <c r="BL13" s="33" t="s">
        <v>139</v>
      </c>
      <c r="BM13" s="33" t="s">
        <v>140</v>
      </c>
      <c r="BN13" s="33" t="s">
        <v>53</v>
      </c>
      <c r="BO13" s="33" t="s">
        <v>15</v>
      </c>
      <c r="BP13" s="33" t="s">
        <v>285</v>
      </c>
      <c r="BQ13" s="33" t="s">
        <v>16</v>
      </c>
      <c r="BR13" s="33" t="s">
        <v>286</v>
      </c>
      <c r="BS13" s="33" t="s">
        <v>287</v>
      </c>
      <c r="BT13" s="33" t="s">
        <v>148</v>
      </c>
      <c r="BU13" s="33" t="s">
        <v>149</v>
      </c>
      <c r="BV13" s="33" t="s">
        <v>150</v>
      </c>
      <c r="BW13" s="33" t="s">
        <v>289</v>
      </c>
      <c r="BX13" s="33" t="s">
        <v>290</v>
      </c>
      <c r="BY13" s="33" t="s">
        <v>291</v>
      </c>
      <c r="BZ13" s="33" t="s">
        <v>40</v>
      </c>
      <c r="CA13" s="33" t="s">
        <v>41</v>
      </c>
      <c r="CB13" s="33" t="s">
        <v>164</v>
      </c>
      <c r="CC13" s="33" t="s">
        <v>293</v>
      </c>
      <c r="CD13" s="33" t="s">
        <v>294</v>
      </c>
      <c r="CE13" s="33" t="s">
        <v>295</v>
      </c>
      <c r="CF13" s="33" t="s">
        <v>296</v>
      </c>
      <c r="CG13" s="33" t="s">
        <v>297</v>
      </c>
      <c r="CH13" s="33" t="s">
        <v>298</v>
      </c>
      <c r="CI13" s="33" t="s">
        <v>165</v>
      </c>
      <c r="CJ13" s="33" t="s">
        <v>166</v>
      </c>
      <c r="CK13" s="33" t="s">
        <v>167</v>
      </c>
      <c r="CL13" s="33" t="s">
        <v>168</v>
      </c>
      <c r="CM13" s="33" t="s">
        <v>169</v>
      </c>
      <c r="CN13" s="33" t="s">
        <v>299</v>
      </c>
      <c r="CO13" s="33" t="s">
        <v>300</v>
      </c>
      <c r="CP13" s="33" t="s">
        <v>301</v>
      </c>
      <c r="CQ13" s="33" t="s">
        <v>302</v>
      </c>
      <c r="CR13" s="33" t="s">
        <v>43</v>
      </c>
      <c r="CS13" s="33" t="s">
        <v>303</v>
      </c>
      <c r="CT13" s="33" t="s">
        <v>44</v>
      </c>
      <c r="CU13" s="33" t="s">
        <v>180</v>
      </c>
      <c r="CV13" s="33" t="s">
        <v>181</v>
      </c>
      <c r="CW13" s="33" t="s">
        <v>182</v>
      </c>
      <c r="CX13" s="33" t="s">
        <v>174</v>
      </c>
      <c r="CY13" s="33" t="s">
        <v>175</v>
      </c>
      <c r="CZ13" s="33" t="s">
        <v>176</v>
      </c>
      <c r="DA13" s="33" t="s">
        <v>177</v>
      </c>
      <c r="DB13" s="33" t="s">
        <v>178</v>
      </c>
      <c r="DC13" s="33" t="s">
        <v>179</v>
      </c>
      <c r="DD13" s="33" t="s">
        <v>183</v>
      </c>
      <c r="DE13" s="33" t="s">
        <v>305</v>
      </c>
      <c r="DF13" s="33" t="s">
        <v>306</v>
      </c>
      <c r="DG13" s="33" t="s">
        <v>187</v>
      </c>
      <c r="DH13" s="33" t="s">
        <v>188</v>
      </c>
      <c r="DI13" s="33" t="s">
        <v>308</v>
      </c>
      <c r="DJ13" s="33" t="s">
        <v>309</v>
      </c>
      <c r="DK13" s="33" t="s">
        <v>184</v>
      </c>
      <c r="DL13" s="33" t="s">
        <v>310</v>
      </c>
      <c r="DM13" s="33" t="s">
        <v>185</v>
      </c>
      <c r="DN13" s="33" t="s">
        <v>312</v>
      </c>
      <c r="DO13" s="33" t="s">
        <v>313</v>
      </c>
      <c r="DP13" s="33" t="s">
        <v>186</v>
      </c>
      <c r="DQ13" s="33" t="s">
        <v>314</v>
      </c>
      <c r="DR13" s="33" t="s">
        <v>315</v>
      </c>
      <c r="DS13" s="33" t="s">
        <v>316</v>
      </c>
      <c r="DT13" s="33" t="s">
        <v>317</v>
      </c>
      <c r="DU13" s="33" t="s">
        <v>318</v>
      </c>
      <c r="DV13" s="33" t="s">
        <v>320</v>
      </c>
      <c r="DW13" s="33" t="s">
        <v>321</v>
      </c>
      <c r="DX13" s="33" t="s">
        <v>366</v>
      </c>
      <c r="DY13" s="33" t="s">
        <v>322</v>
      </c>
      <c r="DZ13" s="33" t="s">
        <v>367</v>
      </c>
      <c r="EA13" s="33" t="s">
        <v>323</v>
      </c>
      <c r="EB13" s="33" t="s">
        <v>189</v>
      </c>
      <c r="EC13" s="33" t="s">
        <v>190</v>
      </c>
      <c r="ED13" s="33" t="s">
        <v>324</v>
      </c>
      <c r="EE13" s="33" t="s">
        <v>56</v>
      </c>
      <c r="EF13" s="33" t="s">
        <v>191</v>
      </c>
      <c r="EG13" s="33" t="s">
        <v>325</v>
      </c>
      <c r="EH13" s="33" t="s">
        <v>192</v>
      </c>
      <c r="EI13" s="33" t="s">
        <v>193</v>
      </c>
      <c r="EJ13" s="33" t="s">
        <v>326</v>
      </c>
      <c r="EK13" s="33" t="s">
        <v>327</v>
      </c>
      <c r="EL13" s="33" t="s">
        <v>328</v>
      </c>
      <c r="EM13" s="33" t="s">
        <v>329</v>
      </c>
      <c r="EN13" s="33" t="s">
        <v>194</v>
      </c>
      <c r="EO13" s="33" t="s">
        <v>195</v>
      </c>
      <c r="EP13" s="33" t="s">
        <v>331</v>
      </c>
      <c r="EQ13" s="33" t="s">
        <v>196</v>
      </c>
      <c r="ER13" s="33" t="s">
        <v>197</v>
      </c>
      <c r="ES13" s="33" t="s">
        <v>332</v>
      </c>
      <c r="ET13" s="33" t="s">
        <v>333</v>
      </c>
      <c r="EU13" s="33" t="s">
        <v>334</v>
      </c>
      <c r="EV13" s="33" t="s">
        <v>335</v>
      </c>
      <c r="EW13" s="33" t="s">
        <v>337</v>
      </c>
      <c r="EX13" s="33" t="s">
        <v>338</v>
      </c>
      <c r="EY13" s="33" t="s">
        <v>339</v>
      </c>
      <c r="EZ13" s="33" t="s">
        <v>46</v>
      </c>
      <c r="FA13" s="33" t="s">
        <v>48</v>
      </c>
      <c r="FB13" s="33" t="s">
        <v>47</v>
      </c>
      <c r="FC13" s="33" t="s">
        <v>201</v>
      </c>
      <c r="FD13" s="33" t="s">
        <v>202</v>
      </c>
      <c r="FE13" s="33" t="s">
        <v>340</v>
      </c>
      <c r="FF13" s="33" t="s">
        <v>198</v>
      </c>
      <c r="FG13" s="33" t="s">
        <v>199</v>
      </c>
      <c r="FH13" s="33" t="s">
        <v>200</v>
      </c>
      <c r="FI13" s="33" t="s">
        <v>342</v>
      </c>
      <c r="FJ13" s="33" t="s">
        <v>343</v>
      </c>
      <c r="FK13" s="33" t="s">
        <v>344</v>
      </c>
      <c r="FL13" s="33" t="s">
        <v>203</v>
      </c>
      <c r="FM13" s="33" t="s">
        <v>204</v>
      </c>
      <c r="FN13" s="33" t="s">
        <v>205</v>
      </c>
      <c r="FO13" s="33" t="s">
        <v>346</v>
      </c>
      <c r="FP13" s="33" t="s">
        <v>347</v>
      </c>
      <c r="FQ13" s="33" t="s">
        <v>348</v>
      </c>
      <c r="FR13" s="33"/>
      <c r="FS13" s="33" t="s">
        <v>206</v>
      </c>
      <c r="FT13" s="33" t="s">
        <v>207</v>
      </c>
      <c r="FU13" s="33" t="s">
        <v>208</v>
      </c>
      <c r="FV13" s="33" t="s">
        <v>55</v>
      </c>
      <c r="FW13" s="33" t="s">
        <v>209</v>
      </c>
      <c r="FX13" s="33" t="s">
        <v>210</v>
      </c>
      <c r="FY13" s="33" t="s">
        <v>349</v>
      </c>
      <c r="FZ13" s="33" t="s">
        <v>350</v>
      </c>
      <c r="GA13" s="33" t="s">
        <v>231</v>
      </c>
      <c r="GB13" s="33" t="s">
        <v>232</v>
      </c>
      <c r="GC13" s="33" t="s">
        <v>233</v>
      </c>
      <c r="GD13" s="33" t="s">
        <v>352</v>
      </c>
      <c r="GE13" s="33" t="s">
        <v>353</v>
      </c>
      <c r="GF13" s="33" t="s">
        <v>354</v>
      </c>
      <c r="GG13" s="33" t="s">
        <v>236</v>
      </c>
      <c r="GH13" s="33" t="s">
        <v>355</v>
      </c>
      <c r="GI13" s="33" t="s">
        <v>356</v>
      </c>
      <c r="GJ13" s="33" t="s">
        <v>358</v>
      </c>
      <c r="GK13" s="33" t="s">
        <v>359</v>
      </c>
      <c r="GL13" s="33" t="s">
        <v>360</v>
      </c>
      <c r="GM13" s="33" t="s">
        <v>237</v>
      </c>
      <c r="GN13" s="33" t="s">
        <v>238</v>
      </c>
      <c r="GO13" s="33" t="s">
        <v>239</v>
      </c>
      <c r="GP13" s="33" t="s">
        <v>362</v>
      </c>
      <c r="GQ13" s="33" t="s">
        <v>363</v>
      </c>
      <c r="GR13" s="33" t="s">
        <v>364</v>
      </c>
    </row>
    <row r="14" spans="1:254" ht="16.2" thickBot="1" x14ac:dyDescent="0.35">
      <c r="A14" s="14">
        <v>1</v>
      </c>
      <c r="B14" s="49" t="str">
        <f>[1]Worksheet!B6</f>
        <v>Абдигани Аяна Ермекқызы</v>
      </c>
      <c r="C14" s="4">
        <v>1</v>
      </c>
      <c r="D14" s="4"/>
      <c r="E14" s="4"/>
      <c r="F14" s="5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1">
        <v>1</v>
      </c>
      <c r="P14" s="11"/>
      <c r="Q14" s="11"/>
      <c r="R14" s="11">
        <v>1</v>
      </c>
      <c r="S14" s="11"/>
      <c r="T14" s="11"/>
      <c r="U14" s="11"/>
      <c r="V14" s="11">
        <v>1</v>
      </c>
      <c r="W14" s="11"/>
      <c r="X14" s="11">
        <v>1</v>
      </c>
      <c r="Y14" s="11"/>
      <c r="Z14" s="11"/>
      <c r="AA14" s="11"/>
      <c r="AB14" s="11">
        <v>1</v>
      </c>
      <c r="AC14" s="11"/>
      <c r="AD14" s="11"/>
      <c r="AE14" s="11">
        <v>1</v>
      </c>
      <c r="AF14" s="11"/>
      <c r="AG14" s="11"/>
      <c r="AH14" s="11">
        <v>1</v>
      </c>
      <c r="AI14" s="11"/>
      <c r="AJ14" s="11">
        <v>1</v>
      </c>
      <c r="AK14" s="11"/>
      <c r="AL14" s="11"/>
      <c r="AM14" s="11">
        <v>1</v>
      </c>
      <c r="AN14" s="11"/>
      <c r="AO14" s="11"/>
      <c r="AP14" s="46">
        <v>1</v>
      </c>
      <c r="AQ14" s="11"/>
      <c r="AR14" s="11"/>
      <c r="AS14" s="11">
        <v>1</v>
      </c>
      <c r="AT14" s="11"/>
      <c r="AU14" s="11"/>
      <c r="AV14" s="5">
        <v>1</v>
      </c>
      <c r="AW14" s="5"/>
      <c r="AX14" s="5"/>
      <c r="AY14" s="1"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/>
      <c r="BI14" s="11">
        <v>1</v>
      </c>
      <c r="BJ14" s="11"/>
      <c r="BK14" s="11"/>
      <c r="BL14" s="5">
        <v>1</v>
      </c>
      <c r="BM14" s="5"/>
      <c r="BN14" s="1"/>
      <c r="BO14" s="1"/>
      <c r="BP14" s="1">
        <v>1</v>
      </c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/>
      <c r="CS14" s="11">
        <v>1</v>
      </c>
      <c r="CT14" s="11"/>
      <c r="CU14" s="4">
        <v>1</v>
      </c>
      <c r="CV14" s="4"/>
      <c r="CW14" s="4"/>
      <c r="CX14" s="4"/>
      <c r="CY14" s="4"/>
      <c r="CZ14" s="4">
        <v>1</v>
      </c>
      <c r="DA14" s="4"/>
      <c r="DB14" s="5">
        <v>1</v>
      </c>
      <c r="DC14" s="5"/>
      <c r="DD14" s="1">
        <v>1</v>
      </c>
      <c r="DE14" s="1"/>
      <c r="DF14" s="1"/>
      <c r="DG14" s="1"/>
      <c r="DH14" s="1"/>
      <c r="DI14" s="1">
        <v>1</v>
      </c>
      <c r="DJ14" s="1">
        <v>1</v>
      </c>
      <c r="DK14" s="11"/>
      <c r="DL14" s="11"/>
      <c r="DM14" s="36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/>
      <c r="EL14" s="1">
        <v>1</v>
      </c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11"/>
      <c r="FM14" s="4">
        <v>1</v>
      </c>
      <c r="FN14" s="4"/>
      <c r="FO14" s="4"/>
      <c r="FP14" s="4">
        <v>1</v>
      </c>
      <c r="FQ14" s="4"/>
      <c r="FR14" s="4">
        <v>1</v>
      </c>
      <c r="FS14" s="4"/>
      <c r="FT14" s="4"/>
      <c r="FU14" s="4">
        <v>1</v>
      </c>
      <c r="FV14" s="4"/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>
        <f>+GP18</f>
        <v>1</v>
      </c>
      <c r="GK14" s="4"/>
      <c r="GL14" s="4"/>
      <c r="GM14" s="4"/>
      <c r="GN14" s="4">
        <v>1</v>
      </c>
      <c r="GO14" s="4"/>
      <c r="GP14" s="4"/>
      <c r="GQ14" s="4">
        <v>1</v>
      </c>
      <c r="GR14" s="4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</row>
    <row r="15" spans="1:254" ht="16.2" thickBot="1" x14ac:dyDescent="0.35">
      <c r="A15" s="2">
        <v>2</v>
      </c>
      <c r="B15" s="50" t="str">
        <f>[1]Worksheet!B7</f>
        <v>Базарбай Иманғали Біржанұлы</v>
      </c>
      <c r="C15" s="4">
        <v>1</v>
      </c>
      <c r="D15" s="4"/>
      <c r="E15" s="4"/>
      <c r="F15" s="35">
        <v>1</v>
      </c>
      <c r="G15" s="35"/>
      <c r="H15" s="35"/>
      <c r="I15" s="1">
        <v>1</v>
      </c>
      <c r="J15" s="1"/>
      <c r="K15" s="1"/>
      <c r="L15" s="1">
        <v>1</v>
      </c>
      <c r="M15" s="1"/>
      <c r="N15" s="1"/>
      <c r="O15" s="1">
        <v>1</v>
      </c>
      <c r="P15" s="1"/>
      <c r="Q15" s="1"/>
      <c r="R15" s="1">
        <v>1</v>
      </c>
      <c r="S15" s="1"/>
      <c r="T15" s="1"/>
      <c r="U15" s="1"/>
      <c r="V15" s="1">
        <v>1</v>
      </c>
      <c r="W15" s="1"/>
      <c r="X15" s="1"/>
      <c r="Y15" s="1">
        <v>1</v>
      </c>
      <c r="Z15" s="1"/>
      <c r="AA15" s="1"/>
      <c r="AB15" s="1">
        <v>1</v>
      </c>
      <c r="AC15" s="1"/>
      <c r="AD15" s="1"/>
      <c r="AE15" s="1">
        <v>1</v>
      </c>
      <c r="AF15" s="1"/>
      <c r="AG15" s="1"/>
      <c r="AH15" s="1">
        <v>1</v>
      </c>
      <c r="AI15" s="1"/>
      <c r="AJ15" s="1">
        <v>1</v>
      </c>
      <c r="AK15" s="1"/>
      <c r="AL15" s="1"/>
      <c r="AM15" s="1">
        <v>1</v>
      </c>
      <c r="AN15" s="1"/>
      <c r="AO15" s="1"/>
      <c r="AP15" s="1">
        <v>1</v>
      </c>
      <c r="AQ15" s="1"/>
      <c r="AR15" s="1"/>
      <c r="AS15" s="1">
        <v>1</v>
      </c>
      <c r="AT15" s="1"/>
      <c r="AU15" s="1"/>
      <c r="AV15" s="39">
        <v>1</v>
      </c>
      <c r="AW15" s="35"/>
      <c r="AX15" s="35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5">
        <v>1</v>
      </c>
      <c r="BM15" s="35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/>
      <c r="CS15" s="1">
        <v>1</v>
      </c>
      <c r="CT15" s="1"/>
      <c r="CU15" s="4">
        <v>1</v>
      </c>
      <c r="CV15" s="4"/>
      <c r="CW15" s="4"/>
      <c r="CX15" s="4"/>
      <c r="CY15" s="4">
        <v>1</v>
      </c>
      <c r="CZ15" s="4"/>
      <c r="DA15" s="4"/>
      <c r="DB15" s="35">
        <v>1</v>
      </c>
      <c r="DC15" s="35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/>
      <c r="EF15" s="35">
        <v>1</v>
      </c>
      <c r="EG15" s="35"/>
      <c r="EH15" s="35"/>
      <c r="EI15" s="1">
        <v>1</v>
      </c>
      <c r="EJ15" s="1"/>
      <c r="EK15" s="1"/>
      <c r="EL15" s="1">
        <v>1</v>
      </c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/>
      <c r="FP15" s="4">
        <v>1</v>
      </c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6.2" thickBot="1" x14ac:dyDescent="0.35">
      <c r="A16" s="2">
        <v>3</v>
      </c>
      <c r="B16" s="53" t="str">
        <f>[1]Worksheet!B8</f>
        <v>Ерканбай Талғатәлі Бекзатұлы</v>
      </c>
      <c r="C16" s="4">
        <v>1</v>
      </c>
      <c r="D16" s="4"/>
      <c r="E16" s="4"/>
      <c r="F16" s="4"/>
      <c r="G16" s="35"/>
      <c r="H16" s="35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>
        <v>1</v>
      </c>
      <c r="S16" s="1"/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>
        <v>1</v>
      </c>
      <c r="AI16" s="1"/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5"/>
      <c r="AX16" s="35">
        <v>1</v>
      </c>
      <c r="AY16" s="1">
        <v>1</v>
      </c>
      <c r="AZ16" s="1"/>
      <c r="BA16" s="1"/>
      <c r="BB16" s="1">
        <v>1</v>
      </c>
      <c r="BC16" s="1"/>
      <c r="BD16" s="1"/>
      <c r="BE16" s="1">
        <v>1</v>
      </c>
      <c r="BF16" s="1"/>
      <c r="BG16" s="1"/>
      <c r="BH16" s="1"/>
      <c r="BI16" s="1">
        <v>1</v>
      </c>
      <c r="BJ16" s="1"/>
      <c r="BK16" s="1"/>
      <c r="BL16" s="35">
        <v>1</v>
      </c>
      <c r="BM16" s="35"/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/>
      <c r="CB16" s="1">
        <v>1</v>
      </c>
      <c r="CC16" s="1">
        <v>1</v>
      </c>
      <c r="CD16" s="1"/>
      <c r="CE16" s="1"/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/>
      <c r="CS16" s="1">
        <v>1</v>
      </c>
      <c r="CT16" s="1"/>
      <c r="CU16" s="4">
        <v>1</v>
      </c>
      <c r="CV16" s="4"/>
      <c r="CW16" s="4"/>
      <c r="CX16" s="4"/>
      <c r="CY16" s="4">
        <v>1</v>
      </c>
      <c r="CZ16" s="4"/>
      <c r="DA16" s="4">
        <v>1</v>
      </c>
      <c r="DB16" s="35"/>
      <c r="DC16" s="35"/>
      <c r="DD16" s="1">
        <v>1</v>
      </c>
      <c r="DE16" s="1"/>
      <c r="DF16" s="1"/>
      <c r="DG16" s="1">
        <v>1</v>
      </c>
      <c r="DH16" s="1"/>
      <c r="DI16" s="1"/>
      <c r="DJ16" s="1">
        <v>1</v>
      </c>
      <c r="DK16" s="1"/>
      <c r="DM16" s="4">
        <v>1</v>
      </c>
      <c r="DN16" s="4"/>
      <c r="DO16" s="4"/>
      <c r="DP16" s="4">
        <v>1</v>
      </c>
      <c r="DQ16" s="4"/>
      <c r="DR16" s="4"/>
      <c r="DS16" s="4">
        <v>1</v>
      </c>
      <c r="DT16" s="4"/>
      <c r="DU16" s="4"/>
      <c r="DV16" s="4">
        <v>1</v>
      </c>
      <c r="DW16" s="4"/>
      <c r="DX16" s="4"/>
      <c r="DY16" s="4"/>
      <c r="DZ16" s="4">
        <v>1</v>
      </c>
      <c r="EA16" s="4"/>
      <c r="EB16" s="4">
        <v>1</v>
      </c>
      <c r="EC16" s="4"/>
      <c r="ED16" s="4"/>
      <c r="EE16" s="4"/>
      <c r="EF16" s="35"/>
      <c r="EG16" s="35">
        <v>1</v>
      </c>
      <c r="EH16" s="35"/>
      <c r="EI16" s="1">
        <v>1</v>
      </c>
      <c r="EJ16" s="1"/>
      <c r="EK16" s="1"/>
      <c r="EL16" s="1">
        <v>1</v>
      </c>
      <c r="EM16" s="1"/>
      <c r="EN16" s="1">
        <v>1</v>
      </c>
      <c r="EO16" s="1"/>
      <c r="EP16" s="1"/>
      <c r="EQ16" s="1"/>
      <c r="ER16" s="1">
        <v>1</v>
      </c>
      <c r="ES16" s="1"/>
      <c r="ET16" s="1"/>
      <c r="EU16" s="1"/>
      <c r="EV16" s="1">
        <v>1</v>
      </c>
      <c r="EW16" s="1"/>
      <c r="EX16" s="1"/>
      <c r="EY16" s="1">
        <v>1</v>
      </c>
      <c r="EZ16" s="1"/>
      <c r="FA16" s="1"/>
      <c r="FB16" s="1">
        <v>1</v>
      </c>
      <c r="FC16" s="1"/>
      <c r="FD16" s="1"/>
      <c r="FE16" s="1">
        <v>1</v>
      </c>
      <c r="FF16" s="1"/>
      <c r="FG16" s="1"/>
      <c r="FH16" s="1">
        <v>1</v>
      </c>
      <c r="FI16" s="1">
        <v>1</v>
      </c>
      <c r="FJ16" s="1"/>
      <c r="FK16" s="1"/>
      <c r="FL16" s="1"/>
      <c r="FM16" s="4"/>
      <c r="FN16" s="4">
        <v>1</v>
      </c>
      <c r="FO16" s="4"/>
      <c r="FP16" s="4">
        <v>1</v>
      </c>
      <c r="FQ16" s="4"/>
      <c r="FR16" s="4">
        <v>1</v>
      </c>
      <c r="FS16" s="4"/>
      <c r="FT16" s="4"/>
      <c r="FU16" s="4">
        <v>1</v>
      </c>
      <c r="FV16" s="4"/>
      <c r="FW16" s="4"/>
      <c r="FX16" s="4">
        <v>1</v>
      </c>
      <c r="FY16" s="4"/>
      <c r="FZ16" s="4"/>
      <c r="GA16" s="4">
        <v>1</v>
      </c>
      <c r="GB16" s="4"/>
      <c r="GC16" s="4"/>
      <c r="GD16" s="4"/>
      <c r="GE16" s="4">
        <v>1</v>
      </c>
      <c r="GF16" s="4"/>
      <c r="GG16" s="4"/>
      <c r="GH16" s="4"/>
      <c r="GI16" s="4">
        <v>1</v>
      </c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6.2" thickBot="1" x14ac:dyDescent="0.35">
      <c r="A17" s="2">
        <v>4</v>
      </c>
      <c r="B17" s="49" t="str">
        <f>[1]Worksheet!B9</f>
        <v>Исмат Кәусар Бақтиярқызы</v>
      </c>
      <c r="C17" s="4">
        <v>1</v>
      </c>
      <c r="D17" s="4"/>
      <c r="E17" s="4"/>
      <c r="F17" s="39">
        <v>1</v>
      </c>
      <c r="G17" s="35"/>
      <c r="H17" s="35"/>
      <c r="I17" s="35">
        <v>1</v>
      </c>
      <c r="J17" s="1"/>
      <c r="K17" s="1"/>
      <c r="L17" s="1">
        <v>1</v>
      </c>
      <c r="M17" s="1"/>
      <c r="N17" s="1"/>
      <c r="O17" s="1">
        <v>1</v>
      </c>
      <c r="P17" s="1"/>
      <c r="Q17" s="1"/>
      <c r="R17" s="1">
        <v>1</v>
      </c>
      <c r="S17" s="1"/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>
        <v>1</v>
      </c>
      <c r="AC17" s="1"/>
      <c r="AD17" s="1"/>
      <c r="AE17" s="1">
        <v>1</v>
      </c>
      <c r="AF17" s="1"/>
      <c r="AG17" s="1"/>
      <c r="AH17" s="1">
        <v>1</v>
      </c>
      <c r="AI17" s="1"/>
      <c r="AJ17" s="1">
        <v>1</v>
      </c>
      <c r="AK17" s="1"/>
      <c r="AL17" s="1"/>
      <c r="AM17" s="1">
        <v>1</v>
      </c>
      <c r="AN17" s="1"/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5"/>
      <c r="AX17" s="35">
        <v>1</v>
      </c>
      <c r="AY17" s="35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5">
        <v>1</v>
      </c>
      <c r="BM17" s="35"/>
      <c r="BN17" s="35">
        <v>1</v>
      </c>
      <c r="BO17" s="1"/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/>
      <c r="CS17" s="1">
        <v>1</v>
      </c>
      <c r="CT17" s="1"/>
      <c r="CU17" s="4">
        <v>1</v>
      </c>
      <c r="CV17" s="4"/>
      <c r="CW17" s="4"/>
      <c r="CX17" s="4"/>
      <c r="CY17" s="4"/>
      <c r="CZ17" s="4">
        <v>1</v>
      </c>
      <c r="DA17" s="4"/>
      <c r="DB17" s="35">
        <v>1</v>
      </c>
      <c r="DC17" s="35"/>
      <c r="DD17" s="35">
        <v>1</v>
      </c>
      <c r="DE17" s="1"/>
      <c r="DF17" s="1"/>
      <c r="DG17" s="1">
        <v>1</v>
      </c>
      <c r="DH17" s="1"/>
      <c r="DI17" s="1"/>
      <c r="DJ17" s="1">
        <v>1</v>
      </c>
      <c r="DK17" s="1"/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5">
        <v>1</v>
      </c>
      <c r="EG17" s="35"/>
      <c r="EH17" s="35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6.2" thickBot="1" x14ac:dyDescent="0.35">
      <c r="A18" s="2">
        <v>5</v>
      </c>
      <c r="B18" s="50" t="str">
        <f>[1]Worksheet!B10</f>
        <v>Кадирова Гулназ Туйгунжановна</v>
      </c>
      <c r="C18" s="4"/>
      <c r="D18" s="4"/>
      <c r="E18" s="4">
        <v>1</v>
      </c>
      <c r="F18" s="39"/>
      <c r="G18" s="35"/>
      <c r="H18" s="35">
        <v>1</v>
      </c>
      <c r="I18" s="35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/>
      <c r="V18" s="1">
        <v>1</v>
      </c>
      <c r="W18" s="1"/>
      <c r="X18" s="1">
        <v>1</v>
      </c>
      <c r="Y18" s="1"/>
      <c r="Z18" s="1"/>
      <c r="AA18" s="1">
        <v>1</v>
      </c>
      <c r="AB18" s="1"/>
      <c r="AC18" s="1"/>
      <c r="AD18" s="1"/>
      <c r="AE18" s="1">
        <v>1</v>
      </c>
      <c r="AF18" s="1"/>
      <c r="AG18" s="1"/>
      <c r="AH18" s="1">
        <v>1</v>
      </c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35"/>
      <c r="AX18" s="35">
        <v>1</v>
      </c>
      <c r="AY18" s="35"/>
      <c r="AZ18" s="1"/>
      <c r="BA18" s="1">
        <v>1</v>
      </c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5"/>
      <c r="BM18" s="35"/>
      <c r="BN18" s="35">
        <v>1</v>
      </c>
      <c r="BO18" s="1"/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>
        <v>1</v>
      </c>
      <c r="CP18" s="1"/>
      <c r="CQ18" s="1"/>
      <c r="CR18" s="1"/>
      <c r="CS18" s="1">
        <v>1</v>
      </c>
      <c r="CT18" s="1"/>
      <c r="CU18" s="4">
        <v>1</v>
      </c>
      <c r="CV18" s="4"/>
      <c r="CW18" s="4"/>
      <c r="CX18" s="4"/>
      <c r="CY18" s="4">
        <v>1</v>
      </c>
      <c r="CZ18" s="4"/>
      <c r="DA18" s="4">
        <v>1</v>
      </c>
      <c r="DB18" s="35"/>
      <c r="DC18" s="35"/>
      <c r="DD18" s="35"/>
      <c r="DE18" s="1">
        <v>1</v>
      </c>
      <c r="DF18" s="1"/>
      <c r="DG18" s="1"/>
      <c r="DH18" s="1">
        <v>1</v>
      </c>
      <c r="DI18" s="1"/>
      <c r="DJ18" s="1"/>
      <c r="DK18" s="1"/>
      <c r="DL18" s="1">
        <v>1</v>
      </c>
      <c r="DM18" s="4"/>
      <c r="DN18" s="4">
        <v>1</v>
      </c>
      <c r="DO18" s="4"/>
      <c r="DP18" s="4">
        <v>1</v>
      </c>
      <c r="DQ18" s="4"/>
      <c r="DR18" s="4"/>
      <c r="DS18" s="4"/>
      <c r="DT18" s="4">
        <v>1</v>
      </c>
      <c r="DU18" s="4"/>
      <c r="DV18" s="4"/>
      <c r="DW18" s="4"/>
      <c r="DX18" s="4">
        <v>1</v>
      </c>
      <c r="DY18" s="4"/>
      <c r="DZ18" s="4"/>
      <c r="EA18" s="4">
        <v>1</v>
      </c>
      <c r="EB18" s="4"/>
      <c r="EC18" s="4">
        <v>1</v>
      </c>
      <c r="ED18" s="4"/>
      <c r="EE18" s="4"/>
      <c r="EF18" s="35"/>
      <c r="EG18" s="35">
        <v>1</v>
      </c>
      <c r="EH18" s="35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/>
      <c r="FQ18" s="4">
        <v>1</v>
      </c>
      <c r="FR18" s="4"/>
      <c r="FS18" s="4">
        <v>1</v>
      </c>
      <c r="FT18" s="4"/>
      <c r="FU18" s="4"/>
      <c r="FV18" s="4">
        <v>1</v>
      </c>
      <c r="FW18" s="4"/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/>
      <c r="GH18" s="4"/>
      <c r="GI18" s="4">
        <v>1</v>
      </c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6.2" thickBot="1" x14ac:dyDescent="0.35">
      <c r="A19" s="2">
        <v>6</v>
      </c>
      <c r="B19" s="50" t="str">
        <f>[1]Worksheet!B11</f>
        <v>Мусабек Сапура Кененқызы</v>
      </c>
      <c r="C19" s="4">
        <v>1</v>
      </c>
      <c r="D19" s="4"/>
      <c r="E19" s="4"/>
      <c r="F19" s="39">
        <v>1</v>
      </c>
      <c r="G19" s="35"/>
      <c r="H19" s="35"/>
      <c r="I19" s="35"/>
      <c r="J19" s="1">
        <v>1</v>
      </c>
      <c r="K19" s="1"/>
      <c r="L19" s="1"/>
      <c r="M19" s="1">
        <v>1</v>
      </c>
      <c r="N19" s="1"/>
      <c r="O19" s="1">
        <v>1</v>
      </c>
      <c r="P19" s="1"/>
      <c r="Q19" s="1"/>
      <c r="R19" s="1"/>
      <c r="S19" s="1">
        <v>1</v>
      </c>
      <c r="T19" s="1"/>
      <c r="U19" s="1"/>
      <c r="V19" s="1">
        <v>1</v>
      </c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>
        <v>1</v>
      </c>
      <c r="AK19" s="1"/>
      <c r="AL19" s="1"/>
      <c r="AM19" s="1"/>
      <c r="AN19" s="1"/>
      <c r="AO19" s="1">
        <v>1</v>
      </c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5"/>
      <c r="AX19" s="35"/>
      <c r="AY19" s="35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5">
        <v>1</v>
      </c>
      <c r="BM19" s="35"/>
      <c r="BN19" s="35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/>
      <c r="CQ19" s="1">
        <v>1</v>
      </c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5">
        <v>1</v>
      </c>
      <c r="DC19" s="35"/>
      <c r="DD19" s="35"/>
      <c r="DE19" s="1">
        <v>1</v>
      </c>
      <c r="DF19" s="1"/>
      <c r="DG19" s="1">
        <v>1</v>
      </c>
      <c r="DH19" s="1"/>
      <c r="DI19" s="1"/>
      <c r="DJ19" s="1">
        <v>1</v>
      </c>
      <c r="DK19" s="1"/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5">
        <v>1</v>
      </c>
      <c r="EG19" s="35"/>
      <c r="EH19" s="35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>
        <v>1</v>
      </c>
      <c r="GH19" s="4"/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6.2" thickBot="1" x14ac:dyDescent="0.35">
      <c r="A20" s="2">
        <v>7</v>
      </c>
      <c r="B20" s="50" t="str">
        <f>[1]Worksheet!B12</f>
        <v>Мусахунова Розыгуль Рахимжанқызы</v>
      </c>
      <c r="C20" s="4"/>
      <c r="D20" s="4">
        <v>1</v>
      </c>
      <c r="E20" s="4"/>
      <c r="F20" s="39"/>
      <c r="G20" s="35"/>
      <c r="H20" s="35">
        <v>1</v>
      </c>
      <c r="I20" s="35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>
        <v>1</v>
      </c>
      <c r="AK20" s="1"/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5"/>
      <c r="AX20" s="35">
        <v>1</v>
      </c>
      <c r="AY20" s="35">
        <v>1</v>
      </c>
      <c r="AZ20" s="1"/>
      <c r="BA20" s="1"/>
      <c r="BB20" s="1"/>
      <c r="BC20" s="1">
        <v>1</v>
      </c>
      <c r="BD20" s="1"/>
      <c r="BE20" s="1"/>
      <c r="BF20" s="1"/>
      <c r="BG20" s="1">
        <v>1</v>
      </c>
      <c r="BH20" s="1">
        <v>1</v>
      </c>
      <c r="BI20" s="1"/>
      <c r="BJ20" s="1"/>
      <c r="BK20" s="1"/>
      <c r="BL20" s="35">
        <v>1</v>
      </c>
      <c r="BM20" s="35"/>
      <c r="BN20" s="35"/>
      <c r="BO20" s="1"/>
      <c r="BP20" s="1">
        <v>1</v>
      </c>
      <c r="BQ20" s="1"/>
      <c r="BR20" s="1">
        <v>1</v>
      </c>
      <c r="BS20" s="1"/>
      <c r="BT20" s="1"/>
      <c r="BU20" s="1"/>
      <c r="BV20" s="1">
        <v>1</v>
      </c>
      <c r="BW20" s="1"/>
      <c r="BX20" s="1"/>
      <c r="BY20" s="1">
        <v>1</v>
      </c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35"/>
      <c r="DC20" s="35"/>
      <c r="DD20" s="35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5"/>
      <c r="EG20" s="35"/>
      <c r="EH20" s="35"/>
      <c r="EI20" s="1">
        <v>1</v>
      </c>
      <c r="EJ20" s="1"/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ht="15" thickBot="1" x14ac:dyDescent="0.35">
      <c r="A21" s="3">
        <v>8</v>
      </c>
      <c r="B21" s="50" t="str">
        <f>[1]Worksheet!B13</f>
        <v>Мусахунова Сафия Ахматжанқызы</v>
      </c>
      <c r="C21" s="4"/>
      <c r="D21" s="4">
        <v>1</v>
      </c>
      <c r="E21" s="4"/>
      <c r="F21" s="38">
        <v>1</v>
      </c>
      <c r="G21" s="34"/>
      <c r="H21" s="34"/>
      <c r="I21" s="34"/>
      <c r="J21" s="4">
        <v>1</v>
      </c>
      <c r="K21" s="4"/>
      <c r="L21" s="4"/>
      <c r="M21" s="4"/>
      <c r="N21" s="4">
        <v>1</v>
      </c>
      <c r="O21" s="4">
        <v>1</v>
      </c>
      <c r="P21" s="4"/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37"/>
      <c r="AN21" s="4">
        <v>1</v>
      </c>
      <c r="AO21" s="4"/>
      <c r="AP21" s="4"/>
      <c r="AQ21" s="4"/>
      <c r="AR21" s="4">
        <v>1</v>
      </c>
      <c r="AS21" s="4"/>
      <c r="AT21" s="4">
        <v>1</v>
      </c>
      <c r="AU21" s="4"/>
      <c r="AV21" s="4"/>
      <c r="AW21" s="34">
        <v>1</v>
      </c>
      <c r="AX21" s="34"/>
      <c r="AY21" s="34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4">
        <v>1</v>
      </c>
      <c r="BM21" s="34"/>
      <c r="BN21" s="34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>
        <v>1</v>
      </c>
      <c r="CJ21" s="4"/>
      <c r="CK21" s="4"/>
      <c r="CL21" s="37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4">
        <v>1</v>
      </c>
      <c r="DC21" s="34"/>
      <c r="DD21" s="34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4">
        <v>1</v>
      </c>
      <c r="EG21" s="34"/>
      <c r="EH21" s="34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37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ht="15" thickBot="1" x14ac:dyDescent="0.35">
      <c r="A22" s="3">
        <v>9</v>
      </c>
      <c r="B22" s="50" t="str">
        <f>[1]Worksheet!B14</f>
        <v>Нуриддин Асқар Азаматұлы</v>
      </c>
      <c r="C22" s="4"/>
      <c r="D22" s="4"/>
      <c r="E22" s="4">
        <v>1</v>
      </c>
      <c r="F22" s="38"/>
      <c r="G22" s="34"/>
      <c r="H22" s="34">
        <v>1</v>
      </c>
      <c r="I22" s="34">
        <v>1</v>
      </c>
      <c r="J22" s="4"/>
      <c r="K22" s="4"/>
      <c r="L22" s="4">
        <v>1</v>
      </c>
      <c r="M22" s="4"/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37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4"/>
      <c r="AX22" s="34">
        <v>1</v>
      </c>
      <c r="AY22" s="34"/>
      <c r="AZ22" s="4">
        <v>1</v>
      </c>
      <c r="BA22" s="4"/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4"/>
      <c r="BM22" s="34">
        <v>1</v>
      </c>
      <c r="BN22" s="3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37">
        <v>1</v>
      </c>
      <c r="CM22" s="4">
        <v>1</v>
      </c>
      <c r="CN22" s="4"/>
      <c r="CO22" s="4">
        <v>1</v>
      </c>
      <c r="CP22" s="4"/>
      <c r="CQ22" s="4"/>
      <c r="CR22" s="4">
        <v>1</v>
      </c>
      <c r="CS22" s="4">
        <v>1</v>
      </c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34"/>
      <c r="DC22" s="34"/>
      <c r="DD22" s="3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4"/>
      <c r="EG22" s="34">
        <v>1</v>
      </c>
      <c r="EH22" s="34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37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ht="15" thickBot="1" x14ac:dyDescent="0.35">
      <c r="A23" s="3">
        <v>10</v>
      </c>
      <c r="B23" s="50" t="str">
        <f>[1]Worksheet!B15</f>
        <v>Тиллабек Гүлім Ихтиярқызы</v>
      </c>
      <c r="C23" s="4">
        <v>1</v>
      </c>
      <c r="D23" s="4"/>
      <c r="E23" s="4">
        <v>1</v>
      </c>
      <c r="F23" s="38">
        <v>1</v>
      </c>
      <c r="G23" s="34"/>
      <c r="H23" s="34"/>
      <c r="I23" s="34">
        <v>1</v>
      </c>
      <c r="J23" s="4"/>
      <c r="K23" s="4"/>
      <c r="L23" s="4">
        <v>1</v>
      </c>
      <c r="M23" s="4"/>
      <c r="N23" s="4"/>
      <c r="O23" s="4"/>
      <c r="P23" s="4"/>
      <c r="Q23" s="4">
        <v>1</v>
      </c>
      <c r="R23" s="4"/>
      <c r="S23" s="4">
        <v>1</v>
      </c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37"/>
      <c r="AN23" s="4"/>
      <c r="AO23" s="4">
        <v>1</v>
      </c>
      <c r="AP23" s="4">
        <v>1</v>
      </c>
      <c r="AQ23" s="4"/>
      <c r="AR23" s="4"/>
      <c r="AS23" s="4"/>
      <c r="AT23" s="4">
        <v>1</v>
      </c>
      <c r="AU23" s="4"/>
      <c r="AV23" s="4"/>
      <c r="AW23" s="34">
        <v>1</v>
      </c>
      <c r="AX23" s="34"/>
      <c r="AY23" s="34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4"/>
      <c r="BM23" s="34"/>
      <c r="BN23" s="34">
        <v>1</v>
      </c>
      <c r="BO23" s="4"/>
      <c r="BP23" s="4"/>
      <c r="BQ23" s="4"/>
      <c r="BR23" s="4">
        <v>1</v>
      </c>
      <c r="BS23" s="4"/>
      <c r="BT23" s="4"/>
      <c r="BU23" s="4"/>
      <c r="BV23" s="4">
        <v>1</v>
      </c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37"/>
      <c r="CM23" s="4"/>
      <c r="CN23" s="4">
        <v>1</v>
      </c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/>
      <c r="DB23" s="34">
        <v>1</v>
      </c>
      <c r="DC23" s="34"/>
      <c r="DD23" s="34">
        <v>1</v>
      </c>
      <c r="DE23" s="4"/>
      <c r="DF23" s="4"/>
      <c r="DG23" s="4"/>
      <c r="DH23" s="4">
        <v>1</v>
      </c>
      <c r="DI23" s="4"/>
      <c r="DJ23" s="4"/>
      <c r="DK23" s="4"/>
      <c r="DL23" s="4">
        <v>1</v>
      </c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4">
        <v>1</v>
      </c>
      <c r="EG23" s="34"/>
      <c r="EH23" s="34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37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6.2" thickBot="1" x14ac:dyDescent="0.35">
      <c r="A24" s="3">
        <v>11</v>
      </c>
      <c r="B24" s="50" t="str">
        <f>[1]Worksheet!B16</f>
        <v>Усман Мәриям Мейрбекқызы</v>
      </c>
      <c r="C24" s="4"/>
      <c r="D24" s="4">
        <v>1</v>
      </c>
      <c r="E24" s="4"/>
      <c r="F24" s="4"/>
      <c r="G24" s="34"/>
      <c r="H24" s="34"/>
      <c r="I24" s="34">
        <v>1</v>
      </c>
      <c r="J24" s="4"/>
      <c r="K24" s="4"/>
      <c r="L24" s="4">
        <v>1</v>
      </c>
      <c r="M24" s="4"/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/>
      <c r="Z24" s="4">
        <v>1</v>
      </c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/>
      <c r="AK24" s="4">
        <v>1</v>
      </c>
      <c r="AL24" s="4"/>
      <c r="AM24" s="37"/>
      <c r="AN24" s="4">
        <v>1</v>
      </c>
      <c r="AO24" s="4"/>
      <c r="AP24" s="4">
        <v>1</v>
      </c>
      <c r="AQ24" s="4"/>
      <c r="AR24" s="4"/>
      <c r="AS24" s="4"/>
      <c r="AT24" s="4">
        <v>1</v>
      </c>
      <c r="AU24" s="4"/>
      <c r="AV24" s="4">
        <v>1</v>
      </c>
      <c r="AW24" s="34"/>
      <c r="AX24" s="34"/>
      <c r="AY24" s="34">
        <v>1</v>
      </c>
      <c r="AZ24" s="4"/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>
        <v>1</v>
      </c>
      <c r="BL24" s="34"/>
      <c r="BM24" s="34"/>
      <c r="BN24" s="34">
        <v>1</v>
      </c>
      <c r="BO24" s="4"/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>
        <v>1</v>
      </c>
      <c r="CK24" s="4"/>
      <c r="CL24" s="37"/>
      <c r="CM24" s="4">
        <v>1</v>
      </c>
      <c r="CN24" s="4"/>
      <c r="CO24" s="4"/>
      <c r="CP24" s="4"/>
      <c r="CQ24" s="4">
        <v>1</v>
      </c>
      <c r="CR24" s="4"/>
      <c r="CS24" s="4">
        <v>1</v>
      </c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34"/>
      <c r="DC24" s="34"/>
      <c r="DD24" s="34"/>
      <c r="DE24" s="4"/>
      <c r="DF24" s="4">
        <v>1</v>
      </c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>
        <v>1</v>
      </c>
      <c r="EF24" s="34"/>
      <c r="EG24" s="34"/>
      <c r="EH24" s="34">
        <v>1</v>
      </c>
      <c r="EI24" s="4"/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/>
      <c r="EY24" s="4">
        <v>1</v>
      </c>
      <c r="EZ24" s="4"/>
      <c r="FA24" s="4">
        <v>1</v>
      </c>
      <c r="FB24" s="4"/>
      <c r="FC24" s="4">
        <v>1</v>
      </c>
      <c r="FD24" s="4"/>
      <c r="FE24" s="4"/>
      <c r="FF24" s="4">
        <v>1</v>
      </c>
      <c r="FG24" s="4">
        <v>1</v>
      </c>
      <c r="FH24" s="4"/>
      <c r="FI24" s="4"/>
      <c r="FJ24" s="4">
        <v>1</v>
      </c>
      <c r="FK24" s="4"/>
      <c r="FL24" s="37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</row>
    <row r="25" spans="1:254" ht="16.2" thickBot="1" x14ac:dyDescent="0.35">
      <c r="A25" s="3">
        <v>12</v>
      </c>
      <c r="B25" s="50" t="str">
        <f>[1]Worksheet!B17</f>
        <v>Әбдірахымова Айша</v>
      </c>
      <c r="C25" s="4"/>
      <c r="D25" s="4"/>
      <c r="E25" s="4">
        <v>1</v>
      </c>
      <c r="F25" s="4"/>
      <c r="G25" s="34">
        <v>1</v>
      </c>
      <c r="H25" s="34"/>
      <c r="I25" s="34">
        <v>1</v>
      </c>
      <c r="J25" s="4"/>
      <c r="K25" s="4"/>
      <c r="L25" s="4">
        <v>1</v>
      </c>
      <c r="M25" s="4"/>
      <c r="N25" s="4"/>
      <c r="O25" s="4"/>
      <c r="P25" s="4"/>
      <c r="Q25" s="4">
        <v>1</v>
      </c>
      <c r="R25" s="4"/>
      <c r="S25" s="4"/>
      <c r="T25" s="4">
        <v>1</v>
      </c>
      <c r="U25" s="4"/>
      <c r="V25" s="4"/>
      <c r="W25" s="4">
        <v>1</v>
      </c>
      <c r="X25" s="4">
        <v>1</v>
      </c>
      <c r="Y25" s="4"/>
      <c r="Z25" s="4"/>
      <c r="AA25" s="4">
        <v>1</v>
      </c>
      <c r="AB25" s="4"/>
      <c r="AC25" s="4"/>
      <c r="AD25" s="4"/>
      <c r="AE25" s="4">
        <v>1</v>
      </c>
      <c r="AF25" s="4"/>
      <c r="AG25" s="4"/>
      <c r="AH25" s="4"/>
      <c r="AI25" s="4">
        <v>1</v>
      </c>
      <c r="AJ25" s="4"/>
      <c r="AK25" s="4"/>
      <c r="AL25" s="4">
        <v>1</v>
      </c>
      <c r="AM25" s="37"/>
      <c r="AN25" s="4">
        <v>1</v>
      </c>
      <c r="AO25" s="4"/>
      <c r="AP25" s="4">
        <v>1</v>
      </c>
      <c r="AQ25" s="4"/>
      <c r="AR25" s="4"/>
      <c r="AS25" s="4"/>
      <c r="AT25" s="4">
        <v>1</v>
      </c>
      <c r="AU25" s="4"/>
      <c r="AV25" s="34">
        <v>1</v>
      </c>
      <c r="AW25" s="34"/>
      <c r="AX25" s="34"/>
      <c r="AY25" s="34">
        <v>1</v>
      </c>
      <c r="AZ25" s="4"/>
      <c r="BA25" s="4"/>
      <c r="BB25" s="4">
        <v>1</v>
      </c>
      <c r="BC25" s="4"/>
      <c r="BD25" s="4"/>
      <c r="BE25" s="4"/>
      <c r="BF25" s="4"/>
      <c r="BG25" s="4">
        <v>1</v>
      </c>
      <c r="BH25" s="4"/>
      <c r="BI25" s="4"/>
      <c r="BJ25" s="4">
        <v>1</v>
      </c>
      <c r="BK25" s="4"/>
      <c r="BL25" s="34">
        <v>1</v>
      </c>
      <c r="BM25" s="34"/>
      <c r="BN25" s="34">
        <v>1</v>
      </c>
      <c r="BO25" s="4"/>
      <c r="BP25" s="4"/>
      <c r="BQ25" s="4">
        <v>1</v>
      </c>
      <c r="BR25" s="4"/>
      <c r="BS25" s="4"/>
      <c r="BT25" s="4"/>
      <c r="BU25" s="4"/>
      <c r="BV25" s="4">
        <v>1</v>
      </c>
      <c r="BW25" s="4">
        <v>1</v>
      </c>
      <c r="BX25" s="4"/>
      <c r="BY25" s="4"/>
      <c r="BZ25" s="4"/>
      <c r="CA25" s="4"/>
      <c r="CB25" s="4">
        <v>1</v>
      </c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37">
        <v>1</v>
      </c>
      <c r="CM25" s="4"/>
      <c r="CN25" s="4"/>
      <c r="CO25" s="4"/>
      <c r="CP25" s="4">
        <v>1</v>
      </c>
      <c r="CQ25" s="4"/>
      <c r="CR25" s="4"/>
      <c r="CS25" s="4">
        <v>1</v>
      </c>
      <c r="CT25" s="4"/>
      <c r="CU25" s="4">
        <v>1</v>
      </c>
      <c r="CV25" s="4"/>
      <c r="CW25" s="4"/>
      <c r="CX25" s="4">
        <v>1</v>
      </c>
      <c r="CY25" s="4"/>
      <c r="CZ25" s="4"/>
      <c r="DA25" s="34">
        <v>1</v>
      </c>
      <c r="DB25" s="34"/>
      <c r="DC25" s="34"/>
      <c r="DD25" s="3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/>
      <c r="DQ25" s="4"/>
      <c r="DR25" s="4">
        <v>1</v>
      </c>
      <c r="DS25" s="4"/>
      <c r="DT25" s="4"/>
      <c r="DU25" s="4">
        <v>1</v>
      </c>
      <c r="DV25" s="4">
        <v>1</v>
      </c>
      <c r="DW25" s="4"/>
      <c r="DX25" s="4"/>
      <c r="DY25" s="4"/>
      <c r="DZ25" s="4">
        <v>1</v>
      </c>
      <c r="EA25" s="4"/>
      <c r="EB25" s="4"/>
      <c r="EC25" s="4"/>
      <c r="ED25" s="4">
        <v>1</v>
      </c>
      <c r="EE25" s="4"/>
      <c r="EF25" s="34">
        <v>1</v>
      </c>
      <c r="EG25" s="34"/>
      <c r="EH25" s="3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/>
      <c r="FD25" s="4">
        <v>1</v>
      </c>
      <c r="FE25" s="4"/>
      <c r="FF25" s="4"/>
      <c r="FG25" s="4"/>
      <c r="FH25" s="4">
        <v>1</v>
      </c>
      <c r="FI25" s="4"/>
      <c r="FJ25" s="4"/>
      <c r="FK25" s="4">
        <v>1</v>
      </c>
      <c r="FL25" s="37"/>
      <c r="FM25" s="4"/>
      <c r="FN25" s="4">
        <v>1</v>
      </c>
      <c r="FO25" s="4"/>
      <c r="FP25" s="4"/>
      <c r="FQ25" s="4">
        <v>1</v>
      </c>
      <c r="FR25" s="4"/>
      <c r="FS25" s="4"/>
      <c r="FT25" s="4">
        <v>1</v>
      </c>
      <c r="FU25" s="4">
        <v>1</v>
      </c>
      <c r="FV25" s="4"/>
      <c r="FW25" s="4"/>
      <c r="FX25" s="4"/>
      <c r="FY25" s="4"/>
      <c r="FZ25" s="4">
        <v>1</v>
      </c>
      <c r="GA25" s="4"/>
      <c r="GB25" s="4"/>
      <c r="GC25" s="4">
        <v>1</v>
      </c>
      <c r="GD25" s="4"/>
      <c r="GE25" s="4">
        <v>1</v>
      </c>
      <c r="GF25" s="4"/>
      <c r="GG25" s="4"/>
      <c r="GH25" s="4"/>
      <c r="GI25" s="4">
        <v>1</v>
      </c>
      <c r="GJ25" s="4"/>
      <c r="GK25" s="4"/>
      <c r="GL25" s="4">
        <v>1</v>
      </c>
      <c r="GM25" s="4">
        <v>1</v>
      </c>
      <c r="GN25" s="4"/>
      <c r="GO25" s="4"/>
      <c r="GP25" s="4"/>
      <c r="GQ25" s="4"/>
      <c r="GR25" s="4">
        <v>1</v>
      </c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 ht="16.2" thickBot="1" x14ac:dyDescent="0.35">
      <c r="A26" s="3">
        <v>13</v>
      </c>
      <c r="B26" s="50" t="str">
        <f>[1]Worksheet!B18</f>
        <v>Әбдіқали Аяла Нұрсейітқызы</v>
      </c>
      <c r="C26" s="4">
        <v>1</v>
      </c>
      <c r="D26" s="4"/>
      <c r="E26" s="4"/>
      <c r="F26" s="4">
        <v>1</v>
      </c>
      <c r="G26" s="34"/>
      <c r="H26" s="34"/>
      <c r="I26" s="3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>
        <v>1</v>
      </c>
      <c r="Y26" s="4"/>
      <c r="Z26" s="4"/>
      <c r="AA26" s="4">
        <v>1</v>
      </c>
      <c r="AB26" s="4"/>
      <c r="AC26" s="4"/>
      <c r="AD26" s="4"/>
      <c r="AE26" s="4">
        <v>1</v>
      </c>
      <c r="AF26" s="4"/>
      <c r="AG26" s="4"/>
      <c r="AH26" s="4">
        <v>1</v>
      </c>
      <c r="AI26" s="4"/>
      <c r="AJ26" s="4"/>
      <c r="AK26" s="4">
        <v>1</v>
      </c>
      <c r="AL26" s="4"/>
      <c r="AM26" s="4">
        <v>1</v>
      </c>
      <c r="AN26" s="4"/>
      <c r="AO26" s="4"/>
      <c r="AP26" s="4">
        <v>1</v>
      </c>
      <c r="AQ26" s="4"/>
      <c r="AR26" s="4"/>
      <c r="AS26" s="4">
        <v>1</v>
      </c>
      <c r="AT26" s="4"/>
      <c r="AU26" s="4"/>
      <c r="AV26" s="34">
        <v>1</v>
      </c>
      <c r="AW26" s="34"/>
      <c r="AX26" s="34"/>
      <c r="AY26" s="34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34">
        <v>1</v>
      </c>
      <c r="BM26" s="34"/>
      <c r="BN26" s="3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>
        <v>1</v>
      </c>
      <c r="CD26" s="4"/>
      <c r="CE26" s="4"/>
      <c r="CF26" s="4"/>
      <c r="CG26" s="4">
        <v>1</v>
      </c>
      <c r="CH26" s="4"/>
      <c r="CI26" s="4">
        <v>1</v>
      </c>
      <c r="CJ26" s="4"/>
      <c r="CK26" s="4"/>
      <c r="CL26" s="37"/>
      <c r="CM26" s="4">
        <v>1</v>
      </c>
      <c r="CN26" s="4"/>
      <c r="CO26" s="4"/>
      <c r="CP26" s="4">
        <v>1</v>
      </c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34">
        <v>1</v>
      </c>
      <c r="DB26" s="34"/>
      <c r="DC26" s="34"/>
      <c r="DD26" s="3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34">
        <v>1</v>
      </c>
      <c r="EG26" s="34"/>
      <c r="EH26" s="34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>
        <v>1</v>
      </c>
      <c r="FA26" s="4"/>
      <c r="FB26" s="4"/>
      <c r="FC26" s="4"/>
      <c r="FD26" s="4">
        <v>1</v>
      </c>
      <c r="FE26" s="4"/>
      <c r="FF26" s="4">
        <v>1</v>
      </c>
      <c r="FG26" s="4"/>
      <c r="FH26" s="4"/>
      <c r="FI26" s="4">
        <v>1</v>
      </c>
      <c r="FJ26" s="4"/>
      <c r="FK26" s="4"/>
      <c r="FL26" s="37"/>
      <c r="FM26" s="4">
        <v>1</v>
      </c>
      <c r="FN26" s="4"/>
      <c r="FO26" s="4">
        <v>1</v>
      </c>
      <c r="FP26" s="4"/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/>
      <c r="GN26" s="4">
        <v>1</v>
      </c>
      <c r="GO26" s="4"/>
      <c r="GP26" s="4">
        <v>1</v>
      </c>
      <c r="GQ26" s="4"/>
      <c r="GR26" s="4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</row>
    <row r="27" spans="1:254" x14ac:dyDescent="0.3">
      <c r="A27" s="63" t="s">
        <v>49</v>
      </c>
      <c r="B27" s="64"/>
      <c r="C27" s="3">
        <f t="shared" ref="C27:AH27" si="0">SUM(C14:C26)</f>
        <v>7</v>
      </c>
      <c r="D27" s="3">
        <f t="shared" si="0"/>
        <v>3</v>
      </c>
      <c r="E27" s="3">
        <f t="shared" si="0"/>
        <v>4</v>
      </c>
      <c r="F27" s="3">
        <f t="shared" si="0"/>
        <v>7</v>
      </c>
      <c r="G27" s="3">
        <f t="shared" si="0"/>
        <v>1</v>
      </c>
      <c r="H27" s="3">
        <f t="shared" si="0"/>
        <v>4</v>
      </c>
      <c r="I27" s="3">
        <f t="shared" si="0"/>
        <v>8</v>
      </c>
      <c r="J27" s="3">
        <f t="shared" si="0"/>
        <v>4</v>
      </c>
      <c r="K27" s="3">
        <f t="shared" si="0"/>
        <v>1</v>
      </c>
      <c r="L27" s="3">
        <f t="shared" si="0"/>
        <v>8</v>
      </c>
      <c r="M27" s="3">
        <f t="shared" si="0"/>
        <v>3</v>
      </c>
      <c r="N27" s="3">
        <f t="shared" si="0"/>
        <v>2</v>
      </c>
      <c r="O27" s="3">
        <f t="shared" si="0"/>
        <v>6</v>
      </c>
      <c r="P27" s="3">
        <f t="shared" si="0"/>
        <v>3</v>
      </c>
      <c r="Q27" s="3">
        <f t="shared" si="0"/>
        <v>4</v>
      </c>
      <c r="R27" s="3">
        <f t="shared" si="0"/>
        <v>5</v>
      </c>
      <c r="S27" s="3">
        <f t="shared" si="0"/>
        <v>5</v>
      </c>
      <c r="T27" s="3">
        <f t="shared" si="0"/>
        <v>3</v>
      </c>
      <c r="U27" s="3">
        <f t="shared" si="0"/>
        <v>2</v>
      </c>
      <c r="V27" s="3">
        <f t="shared" si="0"/>
        <v>8</v>
      </c>
      <c r="W27" s="3">
        <f t="shared" si="0"/>
        <v>3</v>
      </c>
      <c r="X27" s="3">
        <f t="shared" si="0"/>
        <v>6</v>
      </c>
      <c r="Y27" s="3">
        <f t="shared" si="0"/>
        <v>4</v>
      </c>
      <c r="Z27" s="3">
        <f t="shared" si="0"/>
        <v>3</v>
      </c>
      <c r="AA27" s="3">
        <f t="shared" si="0"/>
        <v>5</v>
      </c>
      <c r="AB27" s="3">
        <f t="shared" si="0"/>
        <v>6</v>
      </c>
      <c r="AC27" s="3">
        <f t="shared" si="0"/>
        <v>2</v>
      </c>
      <c r="AD27" s="3">
        <f t="shared" si="0"/>
        <v>4</v>
      </c>
      <c r="AE27" s="3">
        <f t="shared" si="0"/>
        <v>7</v>
      </c>
      <c r="AF27" s="3">
        <f t="shared" si="0"/>
        <v>2</v>
      </c>
      <c r="AG27" s="3">
        <f t="shared" si="0"/>
        <v>1</v>
      </c>
      <c r="AH27" s="3">
        <f t="shared" si="0"/>
        <v>9</v>
      </c>
      <c r="AI27" s="3">
        <f t="shared" ref="AI27:BN27" si="1">SUM(AI14:AI26)</f>
        <v>3</v>
      </c>
      <c r="AJ27" s="3">
        <f t="shared" si="1"/>
        <v>8</v>
      </c>
      <c r="AK27" s="3">
        <f t="shared" si="1"/>
        <v>2</v>
      </c>
      <c r="AL27" s="3">
        <f t="shared" si="1"/>
        <v>3</v>
      </c>
      <c r="AM27" s="3">
        <f t="shared" si="1"/>
        <v>7</v>
      </c>
      <c r="AN27" s="3">
        <f t="shared" si="1"/>
        <v>4</v>
      </c>
      <c r="AO27" s="3">
        <f t="shared" si="1"/>
        <v>2</v>
      </c>
      <c r="AP27" s="3">
        <f t="shared" si="1"/>
        <v>9</v>
      </c>
      <c r="AQ27" s="3">
        <f t="shared" si="1"/>
        <v>2</v>
      </c>
      <c r="AR27" s="3">
        <f t="shared" si="1"/>
        <v>2</v>
      </c>
      <c r="AS27" s="3">
        <f t="shared" si="1"/>
        <v>7</v>
      </c>
      <c r="AT27" s="3">
        <f t="shared" si="1"/>
        <v>5</v>
      </c>
      <c r="AU27" s="3">
        <f t="shared" si="1"/>
        <v>1</v>
      </c>
      <c r="AV27" s="3">
        <f t="shared" si="1"/>
        <v>6</v>
      </c>
      <c r="AW27" s="3">
        <f t="shared" si="1"/>
        <v>2</v>
      </c>
      <c r="AX27" s="3">
        <f t="shared" si="1"/>
        <v>5</v>
      </c>
      <c r="AY27" s="3">
        <f t="shared" si="1"/>
        <v>7</v>
      </c>
      <c r="AZ27" s="3">
        <f t="shared" si="1"/>
        <v>4</v>
      </c>
      <c r="BA27" s="3">
        <f t="shared" si="1"/>
        <v>2</v>
      </c>
      <c r="BB27" s="3">
        <f t="shared" si="1"/>
        <v>7</v>
      </c>
      <c r="BC27" s="3">
        <f t="shared" si="1"/>
        <v>4</v>
      </c>
      <c r="BD27" s="3">
        <f t="shared" si="1"/>
        <v>2</v>
      </c>
      <c r="BE27" s="3">
        <f t="shared" si="1"/>
        <v>3</v>
      </c>
      <c r="BF27" s="3">
        <f t="shared" si="1"/>
        <v>7</v>
      </c>
      <c r="BG27" s="3">
        <f t="shared" si="1"/>
        <v>3</v>
      </c>
      <c r="BH27" s="3">
        <f t="shared" si="1"/>
        <v>4</v>
      </c>
      <c r="BI27" s="3">
        <f t="shared" si="1"/>
        <v>7</v>
      </c>
      <c r="BJ27" s="3">
        <f t="shared" si="1"/>
        <v>2</v>
      </c>
      <c r="BK27" s="3">
        <f t="shared" si="1"/>
        <v>3</v>
      </c>
      <c r="BL27" s="3">
        <f t="shared" si="1"/>
        <v>9</v>
      </c>
      <c r="BM27" s="3">
        <f t="shared" si="1"/>
        <v>1</v>
      </c>
      <c r="BN27" s="3">
        <f t="shared" si="1"/>
        <v>8</v>
      </c>
      <c r="BO27" s="3">
        <f t="shared" ref="BO27:CT27" si="2">SUM(BO14:BO26)</f>
        <v>3</v>
      </c>
      <c r="BP27" s="3">
        <f t="shared" si="2"/>
        <v>2</v>
      </c>
      <c r="BQ27" s="3">
        <f t="shared" si="2"/>
        <v>7</v>
      </c>
      <c r="BR27" s="3">
        <f t="shared" si="2"/>
        <v>4</v>
      </c>
      <c r="BS27" s="3">
        <f t="shared" si="2"/>
        <v>2</v>
      </c>
      <c r="BT27" s="3">
        <f t="shared" si="2"/>
        <v>3</v>
      </c>
      <c r="BU27" s="3">
        <f t="shared" si="2"/>
        <v>6</v>
      </c>
      <c r="BV27" s="3">
        <f t="shared" si="2"/>
        <v>4</v>
      </c>
      <c r="BW27" s="3">
        <f t="shared" si="2"/>
        <v>4</v>
      </c>
      <c r="BX27" s="3">
        <f t="shared" si="2"/>
        <v>7</v>
      </c>
      <c r="BY27" s="3">
        <f t="shared" si="2"/>
        <v>2</v>
      </c>
      <c r="BZ27" s="3">
        <f t="shared" si="2"/>
        <v>3</v>
      </c>
      <c r="CA27" s="3">
        <f t="shared" si="2"/>
        <v>7</v>
      </c>
      <c r="CB27" s="3">
        <f t="shared" si="2"/>
        <v>3</v>
      </c>
      <c r="CC27" s="3">
        <f t="shared" si="2"/>
        <v>4</v>
      </c>
      <c r="CD27" s="3">
        <f t="shared" si="2"/>
        <v>6</v>
      </c>
      <c r="CE27" s="3">
        <f t="shared" si="2"/>
        <v>3</v>
      </c>
      <c r="CF27" s="3">
        <f t="shared" si="2"/>
        <v>2</v>
      </c>
      <c r="CG27" s="3">
        <f t="shared" si="2"/>
        <v>8</v>
      </c>
      <c r="CH27" s="3">
        <f t="shared" si="2"/>
        <v>3</v>
      </c>
      <c r="CI27" s="3">
        <f t="shared" si="2"/>
        <v>4</v>
      </c>
      <c r="CJ27" s="3">
        <f t="shared" si="2"/>
        <v>7</v>
      </c>
      <c r="CK27" s="3">
        <f t="shared" si="2"/>
        <v>2</v>
      </c>
      <c r="CL27" s="3">
        <f t="shared" si="2"/>
        <v>7</v>
      </c>
      <c r="CM27" s="3">
        <f t="shared" si="2"/>
        <v>5</v>
      </c>
      <c r="CN27" s="3">
        <f t="shared" si="2"/>
        <v>2</v>
      </c>
      <c r="CO27" s="3">
        <f t="shared" si="2"/>
        <v>6</v>
      </c>
      <c r="CP27" s="3">
        <f t="shared" si="2"/>
        <v>4</v>
      </c>
      <c r="CQ27" s="3">
        <f t="shared" si="2"/>
        <v>3</v>
      </c>
      <c r="CR27" s="3">
        <f t="shared" si="2"/>
        <v>2</v>
      </c>
      <c r="CS27" s="3">
        <f t="shared" si="2"/>
        <v>11</v>
      </c>
      <c r="CT27" s="3">
        <f t="shared" si="2"/>
        <v>0</v>
      </c>
      <c r="CU27" s="3">
        <f t="shared" ref="CU27:DZ27" si="3">SUM(CU14:CU26)</f>
        <v>13</v>
      </c>
      <c r="CV27" s="3">
        <f t="shared" si="3"/>
        <v>0</v>
      </c>
      <c r="CW27" s="3">
        <f t="shared" si="3"/>
        <v>0</v>
      </c>
      <c r="CX27" s="3">
        <f t="shared" si="3"/>
        <v>7</v>
      </c>
      <c r="CY27" s="3">
        <f t="shared" si="3"/>
        <v>3</v>
      </c>
      <c r="CZ27" s="3">
        <f t="shared" si="3"/>
        <v>3</v>
      </c>
      <c r="DA27" s="3">
        <f t="shared" si="3"/>
        <v>7</v>
      </c>
      <c r="DB27" s="3">
        <f t="shared" si="3"/>
        <v>6</v>
      </c>
      <c r="DC27" s="3">
        <f t="shared" si="3"/>
        <v>0</v>
      </c>
      <c r="DD27" s="3">
        <f t="shared" si="3"/>
        <v>7</v>
      </c>
      <c r="DE27" s="3">
        <f t="shared" si="3"/>
        <v>4</v>
      </c>
      <c r="DF27" s="3">
        <f t="shared" si="3"/>
        <v>2</v>
      </c>
      <c r="DG27" s="3">
        <f t="shared" si="3"/>
        <v>6</v>
      </c>
      <c r="DH27" s="3">
        <f t="shared" si="3"/>
        <v>5</v>
      </c>
      <c r="DI27" s="3">
        <f t="shared" si="3"/>
        <v>2</v>
      </c>
      <c r="DJ27" s="3">
        <f t="shared" si="3"/>
        <v>6</v>
      </c>
      <c r="DK27" s="3">
        <f t="shared" si="3"/>
        <v>4</v>
      </c>
      <c r="DL27" s="3">
        <f t="shared" si="3"/>
        <v>3</v>
      </c>
      <c r="DM27" s="3">
        <f t="shared" si="3"/>
        <v>5</v>
      </c>
      <c r="DN27" s="3">
        <f t="shared" si="3"/>
        <v>7</v>
      </c>
      <c r="DO27" s="3">
        <f t="shared" si="3"/>
        <v>1</v>
      </c>
      <c r="DP27" s="3">
        <f t="shared" si="3"/>
        <v>5</v>
      </c>
      <c r="DQ27" s="3">
        <f t="shared" si="3"/>
        <v>6</v>
      </c>
      <c r="DR27" s="3">
        <f t="shared" si="3"/>
        <v>2</v>
      </c>
      <c r="DS27" s="3">
        <f t="shared" si="3"/>
        <v>7</v>
      </c>
      <c r="DT27" s="3">
        <f t="shared" si="3"/>
        <v>4</v>
      </c>
      <c r="DU27" s="3">
        <f t="shared" si="3"/>
        <v>2</v>
      </c>
      <c r="DV27" s="3">
        <f t="shared" si="3"/>
        <v>5</v>
      </c>
      <c r="DW27" s="3">
        <f t="shared" si="3"/>
        <v>6</v>
      </c>
      <c r="DX27" s="3">
        <f t="shared" si="3"/>
        <v>2</v>
      </c>
      <c r="DY27" s="3">
        <f t="shared" si="3"/>
        <v>3</v>
      </c>
      <c r="DZ27" s="3">
        <f t="shared" si="3"/>
        <v>8</v>
      </c>
      <c r="EA27" s="3">
        <f t="shared" ref="EA27:FF27" si="4">SUM(EA14:EA26)</f>
        <v>2</v>
      </c>
      <c r="EB27" s="3">
        <f t="shared" si="4"/>
        <v>6</v>
      </c>
      <c r="EC27" s="3">
        <f t="shared" si="4"/>
        <v>5</v>
      </c>
      <c r="ED27" s="3">
        <f t="shared" si="4"/>
        <v>2</v>
      </c>
      <c r="EE27" s="3">
        <f t="shared" si="4"/>
        <v>2</v>
      </c>
      <c r="EF27" s="3">
        <f t="shared" si="4"/>
        <v>8</v>
      </c>
      <c r="EG27" s="3">
        <f t="shared" si="4"/>
        <v>3</v>
      </c>
      <c r="EH27" s="3">
        <f t="shared" si="4"/>
        <v>3</v>
      </c>
      <c r="EI27" s="3">
        <f t="shared" si="4"/>
        <v>8</v>
      </c>
      <c r="EJ27" s="3">
        <f t="shared" si="4"/>
        <v>2</v>
      </c>
      <c r="EK27" s="3">
        <f t="shared" si="4"/>
        <v>4</v>
      </c>
      <c r="EL27" s="3">
        <f t="shared" si="4"/>
        <v>7</v>
      </c>
      <c r="EM27" s="3">
        <f t="shared" si="4"/>
        <v>2</v>
      </c>
      <c r="EN27" s="3">
        <f t="shared" si="4"/>
        <v>5</v>
      </c>
      <c r="EO27" s="3">
        <f t="shared" si="4"/>
        <v>6</v>
      </c>
      <c r="EP27" s="3">
        <f t="shared" si="4"/>
        <v>2</v>
      </c>
      <c r="EQ27" s="3">
        <f t="shared" si="4"/>
        <v>4</v>
      </c>
      <c r="ER27" s="3">
        <f t="shared" si="4"/>
        <v>7</v>
      </c>
      <c r="ES27" s="3">
        <f t="shared" si="4"/>
        <v>2</v>
      </c>
      <c r="ET27" s="3">
        <f t="shared" si="4"/>
        <v>5</v>
      </c>
      <c r="EU27" s="3">
        <f t="shared" si="4"/>
        <v>6</v>
      </c>
      <c r="EV27" s="3">
        <f t="shared" si="4"/>
        <v>2</v>
      </c>
      <c r="EW27" s="3">
        <f t="shared" si="4"/>
        <v>5</v>
      </c>
      <c r="EX27" s="3">
        <f t="shared" si="4"/>
        <v>6</v>
      </c>
      <c r="EY27" s="3">
        <f t="shared" si="4"/>
        <v>2</v>
      </c>
      <c r="EZ27" s="3">
        <f t="shared" si="4"/>
        <v>7</v>
      </c>
      <c r="FA27" s="3">
        <f t="shared" si="4"/>
        <v>4</v>
      </c>
      <c r="FB27" s="3">
        <f t="shared" si="4"/>
        <v>2</v>
      </c>
      <c r="FC27" s="3">
        <f t="shared" si="4"/>
        <v>6</v>
      </c>
      <c r="FD27" s="3">
        <f t="shared" si="4"/>
        <v>5</v>
      </c>
      <c r="FE27" s="3">
        <f t="shared" si="4"/>
        <v>2</v>
      </c>
      <c r="FF27" s="3">
        <f t="shared" si="4"/>
        <v>5</v>
      </c>
      <c r="FG27" s="3">
        <f t="shared" ref="FG27:GL27" si="5">SUM(FG14:FG26)</f>
        <v>5</v>
      </c>
      <c r="FH27" s="3">
        <f t="shared" si="5"/>
        <v>3</v>
      </c>
      <c r="FI27" s="3">
        <f t="shared" si="5"/>
        <v>7</v>
      </c>
      <c r="FJ27" s="3">
        <f t="shared" si="5"/>
        <v>3</v>
      </c>
      <c r="FK27" s="3">
        <f t="shared" si="5"/>
        <v>3</v>
      </c>
      <c r="FL27" s="3">
        <f t="shared" si="5"/>
        <v>3</v>
      </c>
      <c r="FM27" s="3">
        <f t="shared" si="5"/>
        <v>7</v>
      </c>
      <c r="FN27" s="3">
        <f t="shared" si="5"/>
        <v>3</v>
      </c>
      <c r="FO27" s="3">
        <f t="shared" si="5"/>
        <v>3</v>
      </c>
      <c r="FP27" s="3">
        <f t="shared" si="5"/>
        <v>7</v>
      </c>
      <c r="FQ27" s="3">
        <f t="shared" si="5"/>
        <v>3</v>
      </c>
      <c r="FR27" s="3">
        <f t="shared" si="5"/>
        <v>6</v>
      </c>
      <c r="FS27" s="3">
        <f t="shared" si="5"/>
        <v>5</v>
      </c>
      <c r="FT27" s="3">
        <f t="shared" si="5"/>
        <v>2</v>
      </c>
      <c r="FU27" s="3">
        <f t="shared" si="5"/>
        <v>5</v>
      </c>
      <c r="FV27" s="3">
        <f t="shared" si="5"/>
        <v>7</v>
      </c>
      <c r="FW27" s="3">
        <f t="shared" si="5"/>
        <v>1</v>
      </c>
      <c r="FX27" s="3">
        <f t="shared" si="5"/>
        <v>3</v>
      </c>
      <c r="FY27" s="3">
        <f t="shared" si="5"/>
        <v>7</v>
      </c>
      <c r="FZ27" s="3">
        <f t="shared" si="5"/>
        <v>3</v>
      </c>
      <c r="GA27" s="3">
        <f t="shared" si="5"/>
        <v>6</v>
      </c>
      <c r="GB27" s="3">
        <f t="shared" si="5"/>
        <v>4</v>
      </c>
      <c r="GC27" s="3">
        <f t="shared" si="5"/>
        <v>3</v>
      </c>
      <c r="GD27" s="3">
        <f t="shared" si="5"/>
        <v>7</v>
      </c>
      <c r="GE27" s="3">
        <f t="shared" si="5"/>
        <v>6</v>
      </c>
      <c r="GF27" s="3">
        <f t="shared" si="5"/>
        <v>0</v>
      </c>
      <c r="GG27" s="3">
        <f t="shared" si="5"/>
        <v>2</v>
      </c>
      <c r="GH27" s="3">
        <f t="shared" si="5"/>
        <v>7</v>
      </c>
      <c r="GI27" s="3">
        <f t="shared" si="5"/>
        <v>4</v>
      </c>
      <c r="GJ27" s="3">
        <f t="shared" si="5"/>
        <v>6</v>
      </c>
      <c r="GK27" s="3">
        <f t="shared" si="5"/>
        <v>5</v>
      </c>
      <c r="GL27" s="3">
        <f t="shared" si="5"/>
        <v>2</v>
      </c>
      <c r="GM27" s="3">
        <f t="shared" ref="GM27:GR27" si="6">SUM(GM14:GM26)</f>
        <v>5</v>
      </c>
      <c r="GN27" s="3">
        <f t="shared" si="6"/>
        <v>7</v>
      </c>
      <c r="GO27" s="3">
        <f t="shared" si="6"/>
        <v>1</v>
      </c>
      <c r="GP27" s="3">
        <f t="shared" si="6"/>
        <v>5</v>
      </c>
      <c r="GQ27" s="3">
        <f t="shared" si="6"/>
        <v>6</v>
      </c>
      <c r="GR27" s="3">
        <f t="shared" si="6"/>
        <v>2</v>
      </c>
    </row>
    <row r="28" spans="1:254" ht="37.5" customHeight="1" x14ac:dyDescent="0.3">
      <c r="A28" s="65" t="s">
        <v>249</v>
      </c>
      <c r="B28" s="66"/>
      <c r="C28" s="10">
        <f>C27/13%</f>
        <v>53.846153846153847</v>
      </c>
      <c r="D28" s="10">
        <f t="shared" ref="D28:BO28" si="7">D27/13%</f>
        <v>23.076923076923077</v>
      </c>
      <c r="E28" s="10">
        <f t="shared" si="7"/>
        <v>30.769230769230766</v>
      </c>
      <c r="F28" s="10">
        <f t="shared" si="7"/>
        <v>53.846153846153847</v>
      </c>
      <c r="G28" s="10">
        <f t="shared" si="7"/>
        <v>7.6923076923076916</v>
      </c>
      <c r="H28" s="10">
        <f t="shared" si="7"/>
        <v>30.769230769230766</v>
      </c>
      <c r="I28" s="10">
        <f t="shared" si="7"/>
        <v>61.538461538461533</v>
      </c>
      <c r="J28" s="10">
        <f t="shared" si="7"/>
        <v>30.769230769230766</v>
      </c>
      <c r="K28" s="10">
        <f t="shared" si="7"/>
        <v>7.6923076923076916</v>
      </c>
      <c r="L28" s="10">
        <f t="shared" si="7"/>
        <v>61.538461538461533</v>
      </c>
      <c r="M28" s="10">
        <f t="shared" si="7"/>
        <v>23.076923076923077</v>
      </c>
      <c r="N28" s="10">
        <f t="shared" si="7"/>
        <v>15.384615384615383</v>
      </c>
      <c r="O28" s="10">
        <f t="shared" si="7"/>
        <v>46.153846153846153</v>
      </c>
      <c r="P28" s="10">
        <f t="shared" si="7"/>
        <v>23.076923076923077</v>
      </c>
      <c r="Q28" s="10">
        <f t="shared" si="7"/>
        <v>30.769230769230766</v>
      </c>
      <c r="R28" s="10">
        <f t="shared" si="7"/>
        <v>38.46153846153846</v>
      </c>
      <c r="S28" s="10">
        <f t="shared" si="7"/>
        <v>38.46153846153846</v>
      </c>
      <c r="T28" s="10">
        <f t="shared" si="7"/>
        <v>23.076923076923077</v>
      </c>
      <c r="U28" s="10">
        <f t="shared" si="7"/>
        <v>15.384615384615383</v>
      </c>
      <c r="V28" s="10">
        <f t="shared" si="7"/>
        <v>61.538461538461533</v>
      </c>
      <c r="W28" s="10">
        <f t="shared" si="7"/>
        <v>23.076923076923077</v>
      </c>
      <c r="X28" s="10">
        <f t="shared" si="7"/>
        <v>46.153846153846153</v>
      </c>
      <c r="Y28" s="10">
        <f t="shared" si="7"/>
        <v>30.769230769230766</v>
      </c>
      <c r="Z28" s="10">
        <f t="shared" si="7"/>
        <v>23.076923076923077</v>
      </c>
      <c r="AA28" s="10">
        <f t="shared" si="7"/>
        <v>38.46153846153846</v>
      </c>
      <c r="AB28" s="10">
        <f t="shared" si="7"/>
        <v>46.153846153846153</v>
      </c>
      <c r="AC28" s="10">
        <f t="shared" si="7"/>
        <v>15.384615384615383</v>
      </c>
      <c r="AD28" s="10">
        <f t="shared" si="7"/>
        <v>30.769230769230766</v>
      </c>
      <c r="AE28" s="10">
        <f t="shared" si="7"/>
        <v>53.846153846153847</v>
      </c>
      <c r="AF28" s="10">
        <f t="shared" si="7"/>
        <v>15.384615384615383</v>
      </c>
      <c r="AG28" s="10">
        <f t="shared" si="7"/>
        <v>7.6923076923076916</v>
      </c>
      <c r="AH28" s="10">
        <f t="shared" si="7"/>
        <v>69.230769230769226</v>
      </c>
      <c r="AI28" s="10">
        <f t="shared" si="7"/>
        <v>23.076923076923077</v>
      </c>
      <c r="AJ28" s="10">
        <f t="shared" si="7"/>
        <v>61.538461538461533</v>
      </c>
      <c r="AK28" s="10">
        <f t="shared" si="7"/>
        <v>15.384615384615383</v>
      </c>
      <c r="AL28" s="10">
        <f t="shared" si="7"/>
        <v>23.076923076923077</v>
      </c>
      <c r="AM28" s="10">
        <f t="shared" si="7"/>
        <v>53.846153846153847</v>
      </c>
      <c r="AN28" s="10">
        <f t="shared" si="7"/>
        <v>30.769230769230766</v>
      </c>
      <c r="AO28" s="10">
        <f t="shared" si="7"/>
        <v>15.384615384615383</v>
      </c>
      <c r="AP28" s="10">
        <f t="shared" si="7"/>
        <v>69.230769230769226</v>
      </c>
      <c r="AQ28" s="10">
        <f t="shared" si="7"/>
        <v>15.384615384615383</v>
      </c>
      <c r="AR28" s="10">
        <f t="shared" si="7"/>
        <v>15.384615384615383</v>
      </c>
      <c r="AS28" s="10">
        <f t="shared" si="7"/>
        <v>53.846153846153847</v>
      </c>
      <c r="AT28" s="10">
        <f t="shared" si="7"/>
        <v>38.46153846153846</v>
      </c>
      <c r="AU28" s="10">
        <f t="shared" si="7"/>
        <v>7.6923076923076916</v>
      </c>
      <c r="AV28" s="10">
        <f t="shared" si="7"/>
        <v>46.153846153846153</v>
      </c>
      <c r="AW28" s="10">
        <f t="shared" si="7"/>
        <v>15.384615384615383</v>
      </c>
      <c r="AX28" s="10">
        <f t="shared" si="7"/>
        <v>38.46153846153846</v>
      </c>
      <c r="AY28" s="10">
        <f t="shared" si="7"/>
        <v>53.846153846153847</v>
      </c>
      <c r="AZ28" s="10">
        <f t="shared" si="7"/>
        <v>30.769230769230766</v>
      </c>
      <c r="BA28" s="10">
        <f t="shared" si="7"/>
        <v>15.384615384615383</v>
      </c>
      <c r="BB28" s="10">
        <f t="shared" si="7"/>
        <v>53.846153846153847</v>
      </c>
      <c r="BC28" s="10">
        <f t="shared" si="7"/>
        <v>30.769230769230766</v>
      </c>
      <c r="BD28" s="10">
        <f t="shared" si="7"/>
        <v>15.384615384615383</v>
      </c>
      <c r="BE28" s="10">
        <f t="shared" si="7"/>
        <v>23.076923076923077</v>
      </c>
      <c r="BF28" s="10">
        <f t="shared" si="7"/>
        <v>53.846153846153847</v>
      </c>
      <c r="BG28" s="10">
        <f t="shared" si="7"/>
        <v>23.076923076923077</v>
      </c>
      <c r="BH28" s="10">
        <f t="shared" si="7"/>
        <v>30.769230769230766</v>
      </c>
      <c r="BI28" s="10">
        <f t="shared" si="7"/>
        <v>53.846153846153847</v>
      </c>
      <c r="BJ28" s="10">
        <f t="shared" si="7"/>
        <v>15.384615384615383</v>
      </c>
      <c r="BK28" s="10">
        <f t="shared" si="7"/>
        <v>23.076923076923077</v>
      </c>
      <c r="BL28" s="10">
        <f t="shared" si="7"/>
        <v>69.230769230769226</v>
      </c>
      <c r="BM28" s="10">
        <f t="shared" si="7"/>
        <v>7.6923076923076916</v>
      </c>
      <c r="BN28" s="10">
        <f t="shared" si="7"/>
        <v>61.538461538461533</v>
      </c>
      <c r="BO28" s="10">
        <f t="shared" si="7"/>
        <v>23.076923076923077</v>
      </c>
      <c r="BP28" s="10">
        <f t="shared" ref="BP28:EA28" si="8">BP27/13%</f>
        <v>15.384615384615383</v>
      </c>
      <c r="BQ28" s="10">
        <f t="shared" si="8"/>
        <v>53.846153846153847</v>
      </c>
      <c r="BR28" s="10">
        <f t="shared" si="8"/>
        <v>30.769230769230766</v>
      </c>
      <c r="BS28" s="10">
        <f t="shared" si="8"/>
        <v>15.384615384615383</v>
      </c>
      <c r="BT28" s="10">
        <f t="shared" si="8"/>
        <v>23.076923076923077</v>
      </c>
      <c r="BU28" s="10">
        <f t="shared" si="8"/>
        <v>46.153846153846153</v>
      </c>
      <c r="BV28" s="10">
        <f t="shared" si="8"/>
        <v>30.769230769230766</v>
      </c>
      <c r="BW28" s="10">
        <f t="shared" si="8"/>
        <v>30.769230769230766</v>
      </c>
      <c r="BX28" s="10">
        <f t="shared" si="8"/>
        <v>53.846153846153847</v>
      </c>
      <c r="BY28" s="10">
        <f t="shared" si="8"/>
        <v>15.384615384615383</v>
      </c>
      <c r="BZ28" s="10">
        <f t="shared" si="8"/>
        <v>23.076923076923077</v>
      </c>
      <c r="CA28" s="10">
        <f t="shared" si="8"/>
        <v>53.846153846153847</v>
      </c>
      <c r="CB28" s="10">
        <f t="shared" si="8"/>
        <v>23.076923076923077</v>
      </c>
      <c r="CC28" s="10">
        <f t="shared" si="8"/>
        <v>30.769230769230766</v>
      </c>
      <c r="CD28" s="10">
        <f t="shared" si="8"/>
        <v>46.153846153846153</v>
      </c>
      <c r="CE28" s="10">
        <f t="shared" si="8"/>
        <v>23.076923076923077</v>
      </c>
      <c r="CF28" s="10">
        <f t="shared" si="8"/>
        <v>15.384615384615383</v>
      </c>
      <c r="CG28" s="10">
        <f t="shared" si="8"/>
        <v>61.538461538461533</v>
      </c>
      <c r="CH28" s="10">
        <f t="shared" si="8"/>
        <v>23.076923076923077</v>
      </c>
      <c r="CI28" s="10">
        <f t="shared" si="8"/>
        <v>30.769230769230766</v>
      </c>
      <c r="CJ28" s="10">
        <f t="shared" si="8"/>
        <v>53.846153846153847</v>
      </c>
      <c r="CK28" s="10">
        <f t="shared" si="8"/>
        <v>15.384615384615383</v>
      </c>
      <c r="CL28" s="10">
        <f t="shared" si="8"/>
        <v>53.846153846153847</v>
      </c>
      <c r="CM28" s="10">
        <f t="shared" si="8"/>
        <v>38.46153846153846</v>
      </c>
      <c r="CN28" s="10">
        <f t="shared" si="8"/>
        <v>15.384615384615383</v>
      </c>
      <c r="CO28" s="10">
        <f t="shared" si="8"/>
        <v>46.153846153846153</v>
      </c>
      <c r="CP28" s="10">
        <f t="shared" si="8"/>
        <v>30.769230769230766</v>
      </c>
      <c r="CQ28" s="10">
        <f t="shared" si="8"/>
        <v>23.076923076923077</v>
      </c>
      <c r="CR28" s="10">
        <f t="shared" si="8"/>
        <v>15.384615384615383</v>
      </c>
      <c r="CS28" s="10">
        <f t="shared" si="8"/>
        <v>84.615384615384613</v>
      </c>
      <c r="CT28" s="10">
        <f t="shared" si="8"/>
        <v>0</v>
      </c>
      <c r="CU28" s="10">
        <f t="shared" si="8"/>
        <v>100</v>
      </c>
      <c r="CV28" s="10">
        <f t="shared" si="8"/>
        <v>0</v>
      </c>
      <c r="CW28" s="10">
        <f t="shared" si="8"/>
        <v>0</v>
      </c>
      <c r="CX28" s="10">
        <f t="shared" si="8"/>
        <v>53.846153846153847</v>
      </c>
      <c r="CY28" s="10">
        <f t="shared" si="8"/>
        <v>23.076923076923077</v>
      </c>
      <c r="CZ28" s="10">
        <f t="shared" si="8"/>
        <v>23.076923076923077</v>
      </c>
      <c r="DA28" s="10">
        <f t="shared" si="8"/>
        <v>53.846153846153847</v>
      </c>
      <c r="DB28" s="10">
        <f t="shared" si="8"/>
        <v>46.153846153846153</v>
      </c>
      <c r="DC28" s="10">
        <f t="shared" si="8"/>
        <v>0</v>
      </c>
      <c r="DD28" s="10">
        <f t="shared" si="8"/>
        <v>53.846153846153847</v>
      </c>
      <c r="DE28" s="10">
        <f t="shared" si="8"/>
        <v>30.769230769230766</v>
      </c>
      <c r="DF28" s="10">
        <f t="shared" si="8"/>
        <v>15.384615384615383</v>
      </c>
      <c r="DG28" s="10">
        <f t="shared" si="8"/>
        <v>46.153846153846153</v>
      </c>
      <c r="DH28" s="10">
        <f t="shared" si="8"/>
        <v>38.46153846153846</v>
      </c>
      <c r="DI28" s="10">
        <f t="shared" si="8"/>
        <v>15.384615384615383</v>
      </c>
      <c r="DJ28" s="10">
        <f t="shared" si="8"/>
        <v>46.153846153846153</v>
      </c>
      <c r="DK28" s="10">
        <f t="shared" si="8"/>
        <v>30.769230769230766</v>
      </c>
      <c r="DL28" s="10">
        <f t="shared" si="8"/>
        <v>23.076923076923077</v>
      </c>
      <c r="DM28" s="10">
        <f t="shared" si="8"/>
        <v>38.46153846153846</v>
      </c>
      <c r="DN28" s="10">
        <f t="shared" si="8"/>
        <v>53.846153846153847</v>
      </c>
      <c r="DO28" s="10">
        <f t="shared" si="8"/>
        <v>7.6923076923076916</v>
      </c>
      <c r="DP28" s="10">
        <f t="shared" si="8"/>
        <v>38.46153846153846</v>
      </c>
      <c r="DQ28" s="10">
        <f t="shared" si="8"/>
        <v>46.153846153846153</v>
      </c>
      <c r="DR28" s="10">
        <f t="shared" si="8"/>
        <v>15.384615384615383</v>
      </c>
      <c r="DS28" s="10">
        <f t="shared" si="8"/>
        <v>53.846153846153847</v>
      </c>
      <c r="DT28" s="10">
        <f t="shared" si="8"/>
        <v>30.769230769230766</v>
      </c>
      <c r="DU28" s="10">
        <f t="shared" si="8"/>
        <v>15.384615384615383</v>
      </c>
      <c r="DV28" s="10">
        <f t="shared" si="8"/>
        <v>38.46153846153846</v>
      </c>
      <c r="DW28" s="10">
        <f t="shared" si="8"/>
        <v>46.153846153846153</v>
      </c>
      <c r="DX28" s="10">
        <f t="shared" si="8"/>
        <v>15.384615384615383</v>
      </c>
      <c r="DY28" s="10">
        <f t="shared" si="8"/>
        <v>23.076923076923077</v>
      </c>
      <c r="DZ28" s="10">
        <f t="shared" si="8"/>
        <v>61.538461538461533</v>
      </c>
      <c r="EA28" s="10">
        <f t="shared" si="8"/>
        <v>15.384615384615383</v>
      </c>
      <c r="EB28" s="10">
        <f t="shared" ref="EB28:GM28" si="9">EB27/13%</f>
        <v>46.153846153846153</v>
      </c>
      <c r="EC28" s="10">
        <f t="shared" si="9"/>
        <v>38.46153846153846</v>
      </c>
      <c r="ED28" s="10">
        <f t="shared" si="9"/>
        <v>15.384615384615383</v>
      </c>
      <c r="EE28" s="10">
        <f t="shared" si="9"/>
        <v>15.384615384615383</v>
      </c>
      <c r="EF28" s="10">
        <f t="shared" si="9"/>
        <v>61.538461538461533</v>
      </c>
      <c r="EG28" s="10">
        <f t="shared" si="9"/>
        <v>23.076923076923077</v>
      </c>
      <c r="EH28" s="10">
        <f t="shared" si="9"/>
        <v>23.076923076923077</v>
      </c>
      <c r="EI28" s="10">
        <f t="shared" si="9"/>
        <v>61.538461538461533</v>
      </c>
      <c r="EJ28" s="10">
        <f t="shared" si="9"/>
        <v>15.384615384615383</v>
      </c>
      <c r="EK28" s="10">
        <f t="shared" si="9"/>
        <v>30.769230769230766</v>
      </c>
      <c r="EL28" s="10">
        <f t="shared" si="9"/>
        <v>53.846153846153847</v>
      </c>
      <c r="EM28" s="10">
        <f t="shared" si="9"/>
        <v>15.384615384615383</v>
      </c>
      <c r="EN28" s="10">
        <f t="shared" si="9"/>
        <v>38.46153846153846</v>
      </c>
      <c r="EO28" s="10">
        <f t="shared" si="9"/>
        <v>46.153846153846153</v>
      </c>
      <c r="EP28" s="10">
        <f t="shared" si="9"/>
        <v>15.384615384615383</v>
      </c>
      <c r="EQ28" s="10">
        <f t="shared" si="9"/>
        <v>30.769230769230766</v>
      </c>
      <c r="ER28" s="10">
        <f t="shared" si="9"/>
        <v>53.846153846153847</v>
      </c>
      <c r="ES28" s="10">
        <f t="shared" si="9"/>
        <v>15.384615384615383</v>
      </c>
      <c r="ET28" s="10">
        <f t="shared" si="9"/>
        <v>38.46153846153846</v>
      </c>
      <c r="EU28" s="10">
        <f t="shared" si="9"/>
        <v>46.153846153846153</v>
      </c>
      <c r="EV28" s="10">
        <f t="shared" si="9"/>
        <v>15.384615384615383</v>
      </c>
      <c r="EW28" s="10">
        <f t="shared" si="9"/>
        <v>38.46153846153846</v>
      </c>
      <c r="EX28" s="10">
        <f t="shared" si="9"/>
        <v>46.153846153846153</v>
      </c>
      <c r="EY28" s="10">
        <f t="shared" si="9"/>
        <v>15.384615384615383</v>
      </c>
      <c r="EZ28" s="10">
        <f t="shared" si="9"/>
        <v>53.846153846153847</v>
      </c>
      <c r="FA28" s="10">
        <f t="shared" si="9"/>
        <v>30.769230769230766</v>
      </c>
      <c r="FB28" s="10">
        <f t="shared" si="9"/>
        <v>15.384615384615383</v>
      </c>
      <c r="FC28" s="10">
        <f t="shared" si="9"/>
        <v>46.153846153846153</v>
      </c>
      <c r="FD28" s="10">
        <f t="shared" si="9"/>
        <v>38.46153846153846</v>
      </c>
      <c r="FE28" s="10">
        <f t="shared" si="9"/>
        <v>15.384615384615383</v>
      </c>
      <c r="FF28" s="10">
        <f t="shared" si="9"/>
        <v>38.46153846153846</v>
      </c>
      <c r="FG28" s="10">
        <f t="shared" si="9"/>
        <v>38.46153846153846</v>
      </c>
      <c r="FH28" s="10">
        <f t="shared" si="9"/>
        <v>23.076923076923077</v>
      </c>
      <c r="FI28" s="10">
        <f t="shared" si="9"/>
        <v>53.846153846153847</v>
      </c>
      <c r="FJ28" s="10">
        <f t="shared" si="9"/>
        <v>23.076923076923077</v>
      </c>
      <c r="FK28" s="10">
        <f t="shared" si="9"/>
        <v>23.076923076923077</v>
      </c>
      <c r="FL28" s="10">
        <f t="shared" si="9"/>
        <v>23.076923076923077</v>
      </c>
      <c r="FM28" s="10">
        <f t="shared" si="9"/>
        <v>53.846153846153847</v>
      </c>
      <c r="FN28" s="10">
        <f t="shared" si="9"/>
        <v>23.076923076923077</v>
      </c>
      <c r="FO28" s="10">
        <f t="shared" si="9"/>
        <v>23.076923076923077</v>
      </c>
      <c r="FP28" s="10">
        <f t="shared" si="9"/>
        <v>53.846153846153847</v>
      </c>
      <c r="FQ28" s="10">
        <f t="shared" si="9"/>
        <v>23.076923076923077</v>
      </c>
      <c r="FR28" s="10">
        <f t="shared" si="9"/>
        <v>46.153846153846153</v>
      </c>
      <c r="FS28" s="10">
        <f t="shared" si="9"/>
        <v>38.46153846153846</v>
      </c>
      <c r="FT28" s="10">
        <f t="shared" si="9"/>
        <v>15.384615384615383</v>
      </c>
      <c r="FU28" s="10">
        <f t="shared" si="9"/>
        <v>38.46153846153846</v>
      </c>
      <c r="FV28" s="10">
        <f t="shared" si="9"/>
        <v>53.846153846153847</v>
      </c>
      <c r="FW28" s="10">
        <f t="shared" si="9"/>
        <v>7.6923076923076916</v>
      </c>
      <c r="FX28" s="10">
        <f t="shared" si="9"/>
        <v>23.076923076923077</v>
      </c>
      <c r="FY28" s="10">
        <f t="shared" si="9"/>
        <v>53.846153846153847</v>
      </c>
      <c r="FZ28" s="10">
        <f t="shared" si="9"/>
        <v>23.076923076923077</v>
      </c>
      <c r="GA28" s="10">
        <f t="shared" si="9"/>
        <v>46.153846153846153</v>
      </c>
      <c r="GB28" s="10">
        <f t="shared" si="9"/>
        <v>30.769230769230766</v>
      </c>
      <c r="GC28" s="10">
        <f t="shared" si="9"/>
        <v>23.076923076923077</v>
      </c>
      <c r="GD28" s="10">
        <f t="shared" si="9"/>
        <v>53.846153846153847</v>
      </c>
      <c r="GE28" s="10">
        <f t="shared" si="9"/>
        <v>46.153846153846153</v>
      </c>
      <c r="GF28" s="10">
        <f t="shared" si="9"/>
        <v>0</v>
      </c>
      <c r="GG28" s="10">
        <f t="shared" si="9"/>
        <v>15.384615384615383</v>
      </c>
      <c r="GH28" s="10">
        <f t="shared" si="9"/>
        <v>53.846153846153847</v>
      </c>
      <c r="GI28" s="10">
        <f t="shared" si="9"/>
        <v>30.769230769230766</v>
      </c>
      <c r="GJ28" s="10">
        <f t="shared" si="9"/>
        <v>46.153846153846153</v>
      </c>
      <c r="GK28" s="10">
        <f t="shared" si="9"/>
        <v>38.46153846153846</v>
      </c>
      <c r="GL28" s="10">
        <f t="shared" si="9"/>
        <v>15.384615384615383</v>
      </c>
      <c r="GM28" s="10">
        <f t="shared" si="9"/>
        <v>38.46153846153846</v>
      </c>
      <c r="GN28" s="10">
        <f t="shared" ref="GN28:GR28" si="10">GN27/13%</f>
        <v>53.846153846153847</v>
      </c>
      <c r="GO28" s="10">
        <f t="shared" si="10"/>
        <v>7.6923076923076916</v>
      </c>
      <c r="GP28" s="10">
        <f t="shared" si="10"/>
        <v>38.46153846153846</v>
      </c>
      <c r="GQ28" s="10">
        <f t="shared" si="10"/>
        <v>46.153846153846153</v>
      </c>
      <c r="GR28" s="10">
        <f t="shared" si="10"/>
        <v>15.384615384615383</v>
      </c>
    </row>
    <row r="30" spans="1:254" x14ac:dyDescent="0.3">
      <c r="B30" s="79" t="s">
        <v>240</v>
      </c>
      <c r="C30" s="79"/>
      <c r="D30" s="79"/>
      <c r="E30" s="79"/>
      <c r="F30" s="20"/>
      <c r="G30" s="20"/>
      <c r="H30" s="20"/>
      <c r="I30" s="20"/>
      <c r="J30" s="20"/>
      <c r="K30" s="20"/>
      <c r="L30" s="20"/>
      <c r="M30" s="20"/>
    </row>
    <row r="31" spans="1:254" x14ac:dyDescent="0.3">
      <c r="B31" s="4" t="s">
        <v>241</v>
      </c>
      <c r="C31" s="19" t="s">
        <v>244</v>
      </c>
      <c r="D31" s="23">
        <f>E31/100*13</f>
        <v>6.8333333333333339</v>
      </c>
      <c r="E31" s="23">
        <f>(C28+F28+I28+L28+O28+R28)/6</f>
        <v>52.564102564102562</v>
      </c>
      <c r="F31" s="20"/>
      <c r="G31" s="20"/>
      <c r="H31" s="20"/>
      <c r="I31" s="20"/>
      <c r="J31" s="20"/>
      <c r="K31" s="20"/>
      <c r="L31" s="20"/>
      <c r="M31" s="20"/>
    </row>
    <row r="32" spans="1:254" x14ac:dyDescent="0.3">
      <c r="B32" s="4" t="s">
        <v>242</v>
      </c>
      <c r="C32" s="19" t="s">
        <v>244</v>
      </c>
      <c r="D32" s="23">
        <f t="shared" ref="D32:D33" si="11">E32/100*13</f>
        <v>3.166666666666667</v>
      </c>
      <c r="E32" s="23">
        <f>(D28+G28+J28+M28+P28+S28)/6</f>
        <v>24.358974358974361</v>
      </c>
      <c r="F32" s="20"/>
      <c r="G32" s="20"/>
      <c r="H32" s="20"/>
      <c r="I32" s="20"/>
      <c r="J32" s="20"/>
      <c r="K32" s="20"/>
      <c r="L32" s="20"/>
      <c r="M32" s="20"/>
    </row>
    <row r="33" spans="2:13" x14ac:dyDescent="0.3">
      <c r="B33" s="4" t="s">
        <v>243</v>
      </c>
      <c r="C33" s="19" t="s">
        <v>244</v>
      </c>
      <c r="D33" s="48">
        <f t="shared" si="11"/>
        <v>3</v>
      </c>
      <c r="E33" s="23">
        <f>(E28+H28+K28+N28+Q28+T28)/6</f>
        <v>23.076923076923077</v>
      </c>
      <c r="F33" s="20"/>
      <c r="G33" s="20"/>
      <c r="H33" s="20"/>
      <c r="I33" s="20"/>
      <c r="J33" s="20"/>
      <c r="K33" s="20"/>
      <c r="L33" s="20"/>
      <c r="M33" s="20"/>
    </row>
    <row r="34" spans="2:13" x14ac:dyDescent="0.3">
      <c r="B34" s="19"/>
      <c r="C34" s="19"/>
      <c r="D34" s="21">
        <f>SUM(D31:D33)</f>
        <v>13</v>
      </c>
      <c r="E34" s="21">
        <f>SUM(E31:E33)</f>
        <v>100</v>
      </c>
      <c r="F34" s="20"/>
      <c r="G34" s="20"/>
      <c r="H34" s="20"/>
      <c r="I34" s="20"/>
      <c r="J34" s="20"/>
      <c r="K34" s="20"/>
      <c r="L34" s="20"/>
      <c r="M34" s="20"/>
    </row>
    <row r="35" spans="2:13" ht="15" customHeight="1" x14ac:dyDescent="0.3">
      <c r="B35" s="19"/>
      <c r="C35" s="19"/>
      <c r="D35" s="80" t="s">
        <v>556</v>
      </c>
      <c r="E35" s="80"/>
      <c r="F35" s="58" t="s">
        <v>3</v>
      </c>
      <c r="G35" s="59"/>
      <c r="H35" s="60" t="s">
        <v>50</v>
      </c>
      <c r="I35" s="61"/>
      <c r="J35" s="20"/>
      <c r="K35" s="20"/>
      <c r="L35" s="20"/>
      <c r="M35" s="20"/>
    </row>
    <row r="36" spans="2:13" x14ac:dyDescent="0.3">
      <c r="B36" s="4" t="s">
        <v>241</v>
      </c>
      <c r="C36" s="19" t="s">
        <v>245</v>
      </c>
      <c r="D36" s="23">
        <f>E36/100*13</f>
        <v>4.3333333333333339</v>
      </c>
      <c r="E36" s="23">
        <f>(U28+X28+AA28+AD28+AG28+AJ28)/6</f>
        <v>33.333333333333336</v>
      </c>
      <c r="F36" s="23">
        <f>G36/100*13</f>
        <v>7.166666666666667</v>
      </c>
      <c r="G36" s="23">
        <f>(AM28+AP28+AS28+AV28+AY28+BB28)/6</f>
        <v>55.128205128205131</v>
      </c>
      <c r="H36" s="23">
        <f>I36/100*13</f>
        <v>4.6666666666666661</v>
      </c>
      <c r="I36" s="23">
        <f>(BE28+BH28+BK28+BN28+BQ28+BT28)/6</f>
        <v>35.897435897435891</v>
      </c>
      <c r="J36" s="17"/>
      <c r="K36" s="17"/>
      <c r="L36" s="17"/>
      <c r="M36" s="17"/>
    </row>
    <row r="37" spans="2:13" x14ac:dyDescent="0.3">
      <c r="B37" s="4" t="s">
        <v>242</v>
      </c>
      <c r="C37" s="19" t="s">
        <v>245</v>
      </c>
      <c r="D37" s="48">
        <f t="shared" ref="D37:D38" si="12">E37/100*13</f>
        <v>6</v>
      </c>
      <c r="E37" s="23">
        <f>(V28+Y28+AB28+AE28+AH28+AK28)/6</f>
        <v>46.153846153846153</v>
      </c>
      <c r="F37" s="23">
        <f t="shared" ref="F37:F38" si="13">G37/100*13</f>
        <v>3.5</v>
      </c>
      <c r="G37" s="23">
        <f>(AN28+AQ28+AT28+AW28+AZ28+BC28)/6</f>
        <v>26.923076923076923</v>
      </c>
      <c r="H37" s="48">
        <f t="shared" ref="H37:H38" si="14">I37/100*13</f>
        <v>6</v>
      </c>
      <c r="I37" s="23">
        <f>(BF28+BI28+BL28+BO28+BR28+BU28)/6</f>
        <v>46.153846153846153</v>
      </c>
      <c r="J37" s="17"/>
      <c r="K37" s="17"/>
      <c r="L37" s="17"/>
      <c r="M37" s="17"/>
    </row>
    <row r="38" spans="2:13" x14ac:dyDescent="0.3">
      <c r="B38" s="4" t="s">
        <v>243</v>
      </c>
      <c r="C38" s="19" t="s">
        <v>245</v>
      </c>
      <c r="D38" s="23">
        <f t="shared" si="12"/>
        <v>2.666666666666667</v>
      </c>
      <c r="E38" s="23">
        <f>(W28+Z28+AC28+AF28+AI28+AL28)/6</f>
        <v>20.512820512820515</v>
      </c>
      <c r="F38" s="23">
        <f t="shared" si="13"/>
        <v>2.3333333333333335</v>
      </c>
      <c r="G38" s="23">
        <f>(AO28+AR28+AU28+AX28+BA28+BD28)/6</f>
        <v>17.948717948717949</v>
      </c>
      <c r="H38" s="23">
        <f t="shared" si="14"/>
        <v>2.333333333333333</v>
      </c>
      <c r="I38" s="23">
        <f>(BG28+BJ28+BM28+BP28+BS28+BV28)/6</f>
        <v>17.948717948717945</v>
      </c>
      <c r="J38" s="17"/>
      <c r="K38" s="17"/>
      <c r="L38" s="17"/>
      <c r="M38" s="17"/>
    </row>
    <row r="39" spans="2:13" x14ac:dyDescent="0.3">
      <c r="B39" s="19"/>
      <c r="C39" s="19"/>
      <c r="D39" s="21">
        <f t="shared" ref="D39:I39" si="15">SUM(D36:D38)</f>
        <v>13</v>
      </c>
      <c r="E39" s="21">
        <f t="shared" si="15"/>
        <v>100</v>
      </c>
      <c r="F39" s="21">
        <f t="shared" si="15"/>
        <v>13.000000000000002</v>
      </c>
      <c r="G39" s="22">
        <f t="shared" si="15"/>
        <v>100</v>
      </c>
      <c r="H39" s="21">
        <f t="shared" si="15"/>
        <v>13</v>
      </c>
      <c r="I39" s="21">
        <f t="shared" si="15"/>
        <v>99.999999999999986</v>
      </c>
      <c r="J39" s="32"/>
      <c r="K39" s="32"/>
      <c r="L39" s="32"/>
      <c r="M39" s="32"/>
    </row>
    <row r="40" spans="2:13" x14ac:dyDescent="0.3">
      <c r="B40" s="4" t="s">
        <v>241</v>
      </c>
      <c r="C40" s="19" t="s">
        <v>246</v>
      </c>
      <c r="D40" s="23">
        <f>E40/100*13</f>
        <v>4</v>
      </c>
      <c r="E40" s="23">
        <f>(BW28+BZ28+CC28+CF28+CI28+CL28)/6</f>
        <v>30.76923076923077</v>
      </c>
      <c r="F40" s="20"/>
      <c r="G40" s="20"/>
      <c r="H40" s="20"/>
      <c r="I40" s="20"/>
      <c r="J40" s="20"/>
      <c r="K40" s="20"/>
      <c r="L40" s="20"/>
      <c r="M40" s="20"/>
    </row>
    <row r="41" spans="2:13" x14ac:dyDescent="0.3">
      <c r="B41" s="4" t="s">
        <v>242</v>
      </c>
      <c r="C41" s="19" t="s">
        <v>246</v>
      </c>
      <c r="D41" s="23">
        <f t="shared" ref="D41:D42" si="16">E41/100*13</f>
        <v>6.6666666666666661</v>
      </c>
      <c r="E41" s="23">
        <f>(BX28+CA28+CD28+CG28+CJ28+CM28)/6</f>
        <v>51.282051282051277</v>
      </c>
      <c r="F41" s="20"/>
      <c r="G41" s="20"/>
      <c r="H41" s="20"/>
      <c r="I41" s="20"/>
      <c r="J41" s="20"/>
      <c r="K41" s="20"/>
      <c r="L41" s="20"/>
      <c r="M41" s="20"/>
    </row>
    <row r="42" spans="2:13" x14ac:dyDescent="0.3">
      <c r="B42" s="4" t="s">
        <v>243</v>
      </c>
      <c r="C42" s="19" t="s">
        <v>246</v>
      </c>
      <c r="D42" s="23">
        <f t="shared" si="16"/>
        <v>2.5</v>
      </c>
      <c r="E42" s="23">
        <f>(BY28+CB28+CE28+CH28+CK28+CN28)/6</f>
        <v>19.23076923076923</v>
      </c>
      <c r="F42" s="20"/>
      <c r="G42" s="20"/>
      <c r="H42" s="20"/>
      <c r="I42" s="20"/>
      <c r="J42" s="20"/>
      <c r="K42" s="20"/>
      <c r="L42" s="20"/>
      <c r="M42" s="20"/>
    </row>
    <row r="43" spans="2:13" x14ac:dyDescent="0.3">
      <c r="B43" s="19"/>
      <c r="C43" s="19"/>
      <c r="D43" s="21">
        <f>SUM(D40:D42)</f>
        <v>13.166666666666666</v>
      </c>
      <c r="E43" s="22">
        <f>SUM(E40:E42)</f>
        <v>101.28205128205127</v>
      </c>
      <c r="F43" s="20"/>
      <c r="G43" s="20"/>
      <c r="H43" s="20"/>
      <c r="I43" s="20"/>
      <c r="J43" s="20"/>
      <c r="K43" s="20"/>
      <c r="L43" s="20"/>
      <c r="M43" s="20"/>
    </row>
    <row r="44" spans="2:13" x14ac:dyDescent="0.3">
      <c r="B44" s="19"/>
      <c r="C44" s="19"/>
      <c r="D44" s="80" t="s">
        <v>30</v>
      </c>
      <c r="E44" s="80"/>
      <c r="F44" s="56" t="s">
        <v>24</v>
      </c>
      <c r="G44" s="57"/>
      <c r="H44" s="60" t="s">
        <v>31</v>
      </c>
      <c r="I44" s="61"/>
      <c r="J44" s="55" t="s">
        <v>32</v>
      </c>
      <c r="K44" s="55"/>
      <c r="L44" s="55" t="s">
        <v>25</v>
      </c>
      <c r="M44" s="55"/>
    </row>
    <row r="45" spans="2:13" x14ac:dyDescent="0.3">
      <c r="B45" s="4" t="s">
        <v>241</v>
      </c>
      <c r="C45" s="19" t="s">
        <v>247</v>
      </c>
      <c r="D45" s="16">
        <f>E45/100*13</f>
        <v>7</v>
      </c>
      <c r="E45" s="23">
        <f>(CO28+CR28+CU28+CX28+DA28+DD28)/6</f>
        <v>53.846153846153847</v>
      </c>
      <c r="F45" s="23">
        <f>G45/100*13</f>
        <v>5.666666666666667</v>
      </c>
      <c r="G45" s="23">
        <f>(DG28+DJ28+DM28+DP28+DS28+DV28)/6</f>
        <v>43.589743589743591</v>
      </c>
      <c r="H45" s="23">
        <f>I45/100*13</f>
        <v>3.8333333333333335</v>
      </c>
      <c r="I45" s="23">
        <f>(DY28+EB28+EE28+EH28+EK28+EN28)/6</f>
        <v>29.487179487179485</v>
      </c>
      <c r="J45" s="23">
        <f>K45/100*13</f>
        <v>5.333333333333333</v>
      </c>
      <c r="K45" s="23">
        <f>(EQ28+ET28+EW28+EZ28+FC28+FF28)/6</f>
        <v>41.025641025641022</v>
      </c>
      <c r="L45" s="23">
        <f>M45/100*13</f>
        <v>4.5</v>
      </c>
      <c r="M45" s="23">
        <f>(FI28+FL28+FO28+FR28+FU28+FX28)/6</f>
        <v>34.615384615384613</v>
      </c>
    </row>
    <row r="46" spans="2:13" x14ac:dyDescent="0.3">
      <c r="B46" s="4" t="s">
        <v>242</v>
      </c>
      <c r="C46" s="19" t="s">
        <v>247</v>
      </c>
      <c r="D46" s="23">
        <f t="shared" ref="D46:D47" si="17">E46/100*13</f>
        <v>4.666666666666667</v>
      </c>
      <c r="E46" s="23">
        <f>(CP28+CS28+CV28+CY28+DB28+DE28)/6</f>
        <v>35.897435897435898</v>
      </c>
      <c r="F46" s="23">
        <f t="shared" ref="F46:F47" si="18">G46/100*13</f>
        <v>5.3333333333333339</v>
      </c>
      <c r="G46" s="23">
        <f>(DH28+DK28+DN28+DQ28+DT28+DW28)/6</f>
        <v>41.025641025641029</v>
      </c>
      <c r="H46" s="48">
        <f t="shared" ref="H46:H47" si="19">I46/100*13</f>
        <v>7</v>
      </c>
      <c r="I46" s="23">
        <f>(DZ28+EC28+EF28+EI28+EL28+EO28)/6</f>
        <v>53.846153846153847</v>
      </c>
      <c r="J46" s="23">
        <f t="shared" ref="J46:J47" si="20">K46/100*13</f>
        <v>5.5</v>
      </c>
      <c r="K46" s="23">
        <f>(ER28+EU28+EX28+FA28+FD28+FG28)/6</f>
        <v>42.307692307692307</v>
      </c>
      <c r="L46" s="23">
        <f t="shared" ref="L46:L47" si="21">M46/100*13</f>
        <v>6</v>
      </c>
      <c r="M46" s="23">
        <f>(FJ28+FM28+FP28+FS28+FV28+FY28)/6</f>
        <v>46.153846153846153</v>
      </c>
    </row>
    <row r="47" spans="2:13" x14ac:dyDescent="0.3">
      <c r="B47" s="4" t="s">
        <v>243</v>
      </c>
      <c r="C47" s="19" t="s">
        <v>247</v>
      </c>
      <c r="D47" s="23">
        <f t="shared" si="17"/>
        <v>1.3333333333333333</v>
      </c>
      <c r="E47" s="23">
        <f>(CQ28+CT28+CW28+CZ28+DC28+DF28)/6</f>
        <v>10.256410256410255</v>
      </c>
      <c r="F47" s="48">
        <f t="shared" si="18"/>
        <v>2</v>
      </c>
      <c r="G47" s="23">
        <f>(DI28+DL28+DO28+DR28+DU28+DX28)/6</f>
        <v>15.384615384615385</v>
      </c>
      <c r="H47" s="23">
        <f t="shared" si="19"/>
        <v>2.166666666666667</v>
      </c>
      <c r="I47" s="23">
        <f>(EA28+ED28+EG28+EJ28+EM28+EP28)/6</f>
        <v>16.666666666666668</v>
      </c>
      <c r="J47" s="23">
        <f t="shared" si="20"/>
        <v>2.166666666666667</v>
      </c>
      <c r="K47" s="23">
        <f>(ES28+EV28+EY28+FB28+FE28+FH28)/6</f>
        <v>16.666666666666668</v>
      </c>
      <c r="L47" s="23">
        <f t="shared" si="21"/>
        <v>2.5</v>
      </c>
      <c r="M47" s="23">
        <f>(FK28+FN28+FQ28+FT28+FW28+FZ28)/6</f>
        <v>19.23076923076923</v>
      </c>
    </row>
    <row r="48" spans="2:13" x14ac:dyDescent="0.3">
      <c r="B48" s="19"/>
      <c r="C48" s="19"/>
      <c r="D48" s="21">
        <f t="shared" ref="D48:M48" si="22">SUM(D45:D47)</f>
        <v>13.000000000000002</v>
      </c>
      <c r="E48" s="21">
        <f t="shared" si="22"/>
        <v>100</v>
      </c>
      <c r="F48" s="21">
        <f t="shared" si="22"/>
        <v>13</v>
      </c>
      <c r="G48" s="22">
        <f t="shared" si="22"/>
        <v>100</v>
      </c>
      <c r="H48" s="21">
        <f t="shared" si="22"/>
        <v>13</v>
      </c>
      <c r="I48" s="21">
        <f t="shared" si="22"/>
        <v>100</v>
      </c>
      <c r="J48" s="21">
        <f t="shared" si="22"/>
        <v>13</v>
      </c>
      <c r="K48" s="21">
        <f t="shared" si="22"/>
        <v>100</v>
      </c>
      <c r="L48" s="21">
        <f t="shared" si="22"/>
        <v>13</v>
      </c>
      <c r="M48" s="21">
        <f t="shared" si="22"/>
        <v>100</v>
      </c>
    </row>
    <row r="49" spans="2:13" x14ac:dyDescent="0.3">
      <c r="B49" s="4" t="s">
        <v>241</v>
      </c>
      <c r="C49" s="19" t="s">
        <v>248</v>
      </c>
      <c r="D49" s="23">
        <f>E49/100*13</f>
        <v>5.166666666666667</v>
      </c>
      <c r="E49" s="23">
        <f>(GA28+GD28+GG28+GJ28+GM28+GP28)/6</f>
        <v>39.743589743589745</v>
      </c>
      <c r="F49" s="20"/>
      <c r="G49" s="20"/>
      <c r="H49" s="20"/>
      <c r="I49" s="20"/>
      <c r="J49" s="20"/>
      <c r="K49" s="20"/>
      <c r="L49" s="20"/>
      <c r="M49" s="20"/>
    </row>
    <row r="50" spans="2:13" x14ac:dyDescent="0.3">
      <c r="B50" s="4" t="s">
        <v>242</v>
      </c>
      <c r="C50" s="19" t="s">
        <v>248</v>
      </c>
      <c r="D50" s="23">
        <f t="shared" ref="D50:D51" si="23">E50/100*13</f>
        <v>5.833333333333333</v>
      </c>
      <c r="E50" s="23">
        <f>(GB28+GE28+GH28+GK28+GN28+GQ28)/6</f>
        <v>44.871794871794869</v>
      </c>
      <c r="F50" s="20"/>
      <c r="G50" s="20"/>
      <c r="H50" s="20"/>
      <c r="I50" s="20"/>
      <c r="J50" s="20"/>
      <c r="K50" s="20"/>
      <c r="L50" s="20"/>
      <c r="M50" s="20"/>
    </row>
    <row r="51" spans="2:13" x14ac:dyDescent="0.3">
      <c r="B51" s="4" t="s">
        <v>243</v>
      </c>
      <c r="C51" s="19" t="s">
        <v>248</v>
      </c>
      <c r="D51" s="48">
        <f t="shared" si="23"/>
        <v>2</v>
      </c>
      <c r="E51" s="23">
        <f>(GC28+GF28+GI28+GL28+GO28+GR28)/6</f>
        <v>15.384615384615385</v>
      </c>
      <c r="F51" s="20"/>
      <c r="G51" s="20"/>
      <c r="H51" s="20"/>
      <c r="I51" s="20"/>
      <c r="J51" s="20"/>
      <c r="K51" s="20"/>
      <c r="L51" s="20"/>
      <c r="M51" s="20"/>
    </row>
    <row r="52" spans="2:13" x14ac:dyDescent="0.3">
      <c r="B52" s="19"/>
      <c r="C52" s="19"/>
      <c r="D52" s="21">
        <f>SUM(D49:D51)</f>
        <v>13</v>
      </c>
      <c r="E52" s="22">
        <f>SUM(E49:E51)</f>
        <v>100</v>
      </c>
      <c r="F52" s="20"/>
      <c r="G52" s="20"/>
      <c r="H52" s="20"/>
      <c r="I52" s="20"/>
      <c r="J52" s="20"/>
      <c r="K52" s="20"/>
      <c r="L52" s="20"/>
      <c r="M52" s="20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27:B27"/>
    <mergeCell ref="A28:B28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30:E30"/>
    <mergeCell ref="D35:E35"/>
    <mergeCell ref="F35:G35"/>
    <mergeCell ref="H35:I35"/>
    <mergeCell ref="D44:E44"/>
    <mergeCell ref="F44:G44"/>
    <mergeCell ref="H44:I44"/>
    <mergeCell ref="GP2:GQ2"/>
    <mergeCell ref="J44:K44"/>
    <mergeCell ref="L44:M44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2026-07-28T07:44:52Z</dcterms:modified>
</cp:coreProperties>
</file>