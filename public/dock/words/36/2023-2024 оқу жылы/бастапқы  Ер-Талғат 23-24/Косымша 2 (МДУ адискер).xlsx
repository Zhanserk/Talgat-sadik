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3-2024 оқу жылы\бастапқы  Ер-Талғат 23-24\"/>
    </mc:Choice>
  </mc:AlternateContent>
  <bookViews>
    <workbookView xWindow="14292" yWindow="0" windowWidth="14616" windowHeight="11760" activeTab="2"/>
  </bookViews>
  <sheets>
    <sheet name="кіші топ" sheetId="10" r:id="rId1"/>
    <sheet name="ересек топ" sheetId="12" r:id="rId2"/>
    <sheet name="МДҰ әдіскерінің жинағы" sheetId="16" r:id="rId3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16" l="1"/>
  <c r="P11" i="16"/>
  <c r="O11" i="16"/>
  <c r="U10" i="16"/>
  <c r="V10" i="16"/>
  <c r="W10" i="16" s="1"/>
  <c r="T11" i="12" l="1"/>
  <c r="U11" i="12"/>
  <c r="V11" i="12"/>
  <c r="W11" i="12"/>
  <c r="X11" i="12"/>
  <c r="Y11" i="12"/>
  <c r="Z11" i="12"/>
  <c r="AA11" i="12"/>
  <c r="AB11" i="12"/>
  <c r="AC11" i="12"/>
  <c r="AD11" i="12"/>
  <c r="AE11" i="12"/>
  <c r="H11" i="12"/>
  <c r="I11" i="12"/>
  <c r="J11" i="12"/>
  <c r="K11" i="12"/>
  <c r="L11" i="12"/>
  <c r="M11" i="12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E11" i="10"/>
  <c r="D11" i="10"/>
  <c r="X12" i="10" l="1"/>
  <c r="R12" i="10"/>
  <c r="K12" i="10"/>
  <c r="S12" i="10"/>
  <c r="V12" i="10"/>
  <c r="N12" i="10"/>
  <c r="J12" i="10"/>
  <c r="O12" i="10"/>
  <c r="W12" i="10"/>
  <c r="H12" i="10"/>
  <c r="T12" i="10"/>
  <c r="D12" i="10"/>
  <c r="I12" i="10"/>
  <c r="M12" i="10"/>
  <c r="Q12" i="10"/>
  <c r="U12" i="10"/>
  <c r="Y12" i="10"/>
  <c r="L12" i="10"/>
  <c r="P12" i="10"/>
  <c r="B11" i="16" l="1"/>
  <c r="E11" i="16"/>
  <c r="D11" i="16"/>
  <c r="C11" i="16"/>
  <c r="F11" i="16"/>
  <c r="G11" i="16"/>
  <c r="H11" i="16"/>
  <c r="I11" i="16"/>
  <c r="J11" i="16"/>
  <c r="K11" i="16"/>
  <c r="L11" i="16"/>
  <c r="M11" i="16"/>
  <c r="N11" i="16"/>
  <c r="AK11" i="12"/>
  <c r="D11" i="12"/>
  <c r="E11" i="12"/>
  <c r="F11" i="12"/>
  <c r="G11" i="12"/>
  <c r="N11" i="12"/>
  <c r="N12" i="12" s="1"/>
  <c r="O11" i="12"/>
  <c r="P11" i="12"/>
  <c r="Q11" i="12"/>
  <c r="R11" i="12"/>
  <c r="R12" i="12" s="1"/>
  <c r="S11" i="12"/>
  <c r="AF11" i="12"/>
  <c r="AH11" i="12"/>
  <c r="AI11" i="12"/>
  <c r="AI12" i="12" s="1"/>
  <c r="AJ11" i="12"/>
  <c r="AG11" i="12"/>
  <c r="T11" i="16" l="1"/>
  <c r="U11" i="16" s="1"/>
  <c r="AH12" i="12"/>
  <c r="Q12" i="12"/>
  <c r="AK12" i="12"/>
  <c r="V11" i="16"/>
  <c r="W11" i="16" s="1"/>
  <c r="AG12" i="12"/>
  <c r="AF12" i="12"/>
  <c r="P12" i="12"/>
  <c r="AB12" i="12"/>
  <c r="U12" i="12"/>
  <c r="M12" i="12"/>
  <c r="I12" i="12"/>
  <c r="AD12" i="12"/>
  <c r="Y12" i="12"/>
  <c r="T12" i="12"/>
  <c r="L12" i="12"/>
  <c r="H12" i="12"/>
  <c r="J12" i="12"/>
  <c r="AC12" i="12"/>
  <c r="X12" i="12"/>
  <c r="AA12" i="12"/>
  <c r="AE12" i="12"/>
  <c r="Z12" i="12"/>
  <c r="V12" i="12"/>
  <c r="W12" i="12"/>
  <c r="K12" i="12"/>
  <c r="AJ12" i="12"/>
  <c r="S12" i="12"/>
  <c r="O12" i="12"/>
  <c r="R11" i="16"/>
  <c r="S11" i="16" s="1"/>
  <c r="I12" i="16"/>
  <c r="F12" i="12"/>
  <c r="G12" i="12"/>
  <c r="D12" i="12"/>
  <c r="E12" i="12"/>
  <c r="N12" i="16"/>
  <c r="J12" i="16"/>
  <c r="B12" i="16"/>
  <c r="F12" i="16"/>
  <c r="Q12" i="16"/>
  <c r="M12" i="16"/>
  <c r="E12" i="16"/>
  <c r="P12" i="16"/>
  <c r="C12" i="16"/>
  <c r="G12" i="16"/>
  <c r="K12" i="16"/>
  <c r="O12" i="16"/>
  <c r="D12" i="16"/>
  <c r="H12" i="16"/>
  <c r="L12" i="16"/>
</calcChain>
</file>

<file path=xl/sharedStrings.xml><?xml version="1.0" encoding="utf-8"?>
<sst xmlns="http://schemas.openxmlformats.org/spreadsheetml/2006/main" count="149" uniqueCount="40">
  <si>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</si>
  <si>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</si>
  <si>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</si>
  <si>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</si>
  <si>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</si>
  <si>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</si>
  <si>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</si>
  <si>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</si>
  <si>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</si>
  <si>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</si>
  <si>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</si>
  <si>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</si>
  <si>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</si>
  <si>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</si>
  <si>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</si>
  <si>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</si>
  <si>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</si>
  <si>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</si>
  <si>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</si>
  <si>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</si>
  <si>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</si>
  <si>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</si>
  <si>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</si>
  <si>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</si>
  <si>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</si>
  <si>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Кіші топ</t>
  </si>
  <si>
    <t>Ересек топ</t>
  </si>
  <si>
    <t>БАРЛЫҒЫ</t>
  </si>
  <si>
    <t xml:space="preserve">Жас ерекшелік топтары </t>
  </si>
  <si>
    <t>Оқыту тілі қазақша</t>
  </si>
  <si>
    <t>Меңгеруші:</t>
  </si>
  <si>
    <t>Мектепке дейінгі ұйым бойынша әдіскерінің  бастапқы жинағы</t>
  </si>
  <si>
    <t>Кіші "Балапан" тобы</t>
  </si>
  <si>
    <t>И.Касимбекова</t>
  </si>
  <si>
    <t>Әдіскерінің аты-жөні И.Касимбекова</t>
  </si>
  <si>
    <t>МДҰ атауы ЖШС "Ер-Талғат" бөбекжай балабақшасы</t>
  </si>
  <si>
    <t>Мекен-жайы  Төле би көшесі №44</t>
  </si>
  <si>
    <t>Б.Жиенбаева</t>
  </si>
  <si>
    <t>Ересектер "Алпамыс" тобы</t>
  </si>
  <si>
    <t>З.Айдарова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</si>
</sst>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6" fillId="0" borderId="0" xfId="0" applyFont="1"/>
    <xf numFmtId="0" fontId="1" fillId="0" borderId="0" xfId="0" applyFont="1" applyAlignment="1">
      <alignment horizontal="left"/>
    </xf>
    <xf numFmtId="1" fontId="1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1" fontId="1" fillId="0" borderId="1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zoomScale="70" zoomScaleNormal="70" workbookViewId="0">
      <selection activeCell="P23" sqref="P23"/>
    </sheetView>
  </sheetViews>
  <sheetFormatPr defaultColWidth="9.109375" defaultRowHeight="15.6" x14ac:dyDescent="0.3"/>
  <cols>
    <col min="1" max="1" width="9.109375" style="25"/>
    <col min="2" max="2" width="17.44140625" style="25" customWidth="1"/>
    <col min="3" max="3" width="17" style="25" customWidth="1"/>
    <col min="4" max="4" width="9.33203125" style="25" customWidth="1"/>
    <col min="5" max="5" width="10.44140625" style="25" customWidth="1"/>
    <col min="6" max="6" width="11" style="25" customWidth="1"/>
    <col min="7" max="7" width="10.33203125" style="25" customWidth="1"/>
    <col min="8" max="8" width="10.44140625" style="25" customWidth="1"/>
    <col min="9" max="9" width="9.5546875" style="25" customWidth="1"/>
    <col min="10" max="10" width="9.88671875" style="25" customWidth="1"/>
    <col min="11" max="11" width="10.44140625" style="25" customWidth="1"/>
    <col min="12" max="12" width="10.6640625" style="25" customWidth="1"/>
    <col min="13" max="13" width="10.33203125" style="25" customWidth="1"/>
    <col min="14" max="14" width="10.5546875" style="25" customWidth="1"/>
    <col min="15" max="15" width="9.44140625" style="25" customWidth="1"/>
    <col min="16" max="16" width="10" style="25" customWidth="1"/>
    <col min="17" max="17" width="11.33203125" style="25" customWidth="1"/>
    <col min="18" max="18" width="10.88671875" style="25" customWidth="1"/>
    <col min="19" max="19" width="11.33203125" style="25" customWidth="1"/>
    <col min="20" max="20" width="9.5546875" style="25" customWidth="1"/>
    <col min="21" max="21" width="10.5546875" style="25" customWidth="1"/>
    <col min="22" max="22" width="9.109375" style="25" customWidth="1"/>
    <col min="23" max="23" width="10.88671875" style="25" customWidth="1"/>
    <col min="24" max="24" width="9.5546875" style="25" customWidth="1"/>
    <col min="25" max="25" width="10.33203125" style="25" customWidth="1"/>
    <col min="26" max="16384" width="9.109375" style="25"/>
  </cols>
  <sheetData>
    <row r="1" spans="1:25" customFormat="1" ht="14.4" x14ac:dyDescent="0.3">
      <c r="N1" s="33"/>
      <c r="O1" s="33"/>
      <c r="V1" s="34" t="s">
        <v>16</v>
      </c>
      <c r="W1" s="34"/>
    </row>
    <row r="2" spans="1:25" customFormat="1" x14ac:dyDescent="0.3">
      <c r="B2" s="30" t="s">
        <v>31</v>
      </c>
      <c r="C2" s="29"/>
      <c r="E2" s="29"/>
      <c r="F2" s="29"/>
      <c r="I2" s="29" t="s">
        <v>35</v>
      </c>
      <c r="J2" s="29"/>
      <c r="K2" s="29"/>
      <c r="L2" s="29"/>
      <c r="M2" s="29"/>
      <c r="N2" s="29"/>
      <c r="O2" s="29"/>
    </row>
    <row r="3" spans="1:25" customFormat="1" x14ac:dyDescent="0.3">
      <c r="A3" s="3"/>
      <c r="B3" s="35" t="s">
        <v>34</v>
      </c>
      <c r="C3" s="35"/>
      <c r="D3" s="35"/>
      <c r="E3" s="35"/>
      <c r="F3" s="35"/>
      <c r="G3" s="35"/>
      <c r="H3" s="29"/>
      <c r="I3" s="36" t="s">
        <v>36</v>
      </c>
      <c r="J3" s="36"/>
      <c r="K3" s="36"/>
      <c r="L3" s="36"/>
      <c r="M3" s="36"/>
      <c r="N3" s="36"/>
      <c r="O3" s="36"/>
      <c r="P3" s="3"/>
      <c r="Q3" s="3"/>
    </row>
    <row r="4" spans="1:25" customFormat="1" x14ac:dyDescent="0.3">
      <c r="C4" s="7"/>
      <c r="E4" s="3"/>
      <c r="F4" s="3"/>
      <c r="I4" s="36" t="s">
        <v>29</v>
      </c>
      <c r="J4" s="36"/>
      <c r="K4" s="36"/>
      <c r="L4" s="36"/>
      <c r="M4" s="36"/>
      <c r="N4" s="36"/>
      <c r="O4" s="36"/>
      <c r="P4" s="3"/>
      <c r="Q4" s="3"/>
    </row>
    <row r="5" spans="1:2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23"/>
      <c r="M5" s="23"/>
      <c r="N5" s="23"/>
      <c r="O5" s="23"/>
      <c r="P5" s="23"/>
      <c r="Q5" s="23"/>
      <c r="R5" s="23"/>
      <c r="S5" s="3"/>
      <c r="T5" s="3"/>
      <c r="U5" s="3"/>
      <c r="V5" s="3"/>
      <c r="W5" s="3"/>
      <c r="X5" s="3"/>
      <c r="Y5" s="3"/>
    </row>
    <row r="6" spans="1:25" x14ac:dyDescent="0.3">
      <c r="A6" s="3"/>
      <c r="B6" s="36"/>
      <c r="C6" s="36"/>
      <c r="D6" s="36"/>
      <c r="E6" s="36"/>
      <c r="F6" s="3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3">
      <c r="A7" s="43" t="s">
        <v>0</v>
      </c>
      <c r="B7" s="39" t="s">
        <v>2</v>
      </c>
      <c r="C7" s="39" t="s">
        <v>3</v>
      </c>
      <c r="D7" s="39" t="s">
        <v>9</v>
      </c>
      <c r="E7" s="39" t="s">
        <v>4</v>
      </c>
      <c r="F7" s="39"/>
      <c r="G7" s="39"/>
      <c r="H7" s="44" t="s">
        <v>7</v>
      </c>
      <c r="I7" s="45"/>
      <c r="J7" s="45"/>
      <c r="K7" s="45"/>
      <c r="L7" s="45"/>
      <c r="M7" s="46"/>
      <c r="N7" s="39" t="s">
        <v>5</v>
      </c>
      <c r="O7" s="39"/>
      <c r="P7" s="39"/>
      <c r="Q7" s="44" t="s">
        <v>8</v>
      </c>
      <c r="R7" s="45"/>
      <c r="S7" s="45"/>
      <c r="T7" s="45"/>
      <c r="U7" s="45"/>
      <c r="V7" s="46"/>
      <c r="W7" s="39" t="s">
        <v>6</v>
      </c>
      <c r="X7" s="39"/>
      <c r="Y7" s="39"/>
    </row>
    <row r="8" spans="1:25" ht="15.75" customHeight="1" x14ac:dyDescent="0.3">
      <c r="A8" s="43"/>
      <c r="B8" s="39"/>
      <c r="C8" s="39"/>
      <c r="D8" s="39"/>
      <c r="E8" s="31" t="s">
        <v>13</v>
      </c>
      <c r="F8" s="31" t="s">
        <v>14</v>
      </c>
      <c r="G8" s="31" t="s">
        <v>15</v>
      </c>
      <c r="H8" s="39" t="s">
        <v>17</v>
      </c>
      <c r="I8" s="39"/>
      <c r="J8" s="39"/>
      <c r="K8" s="39" t="s">
        <v>18</v>
      </c>
      <c r="L8" s="39"/>
      <c r="M8" s="39"/>
      <c r="N8" s="31" t="s">
        <v>13</v>
      </c>
      <c r="O8" s="31" t="s">
        <v>14</v>
      </c>
      <c r="P8" s="31" t="s">
        <v>15</v>
      </c>
      <c r="Q8" s="39" t="s">
        <v>19</v>
      </c>
      <c r="R8" s="39"/>
      <c r="S8" s="39"/>
      <c r="T8" s="39" t="s">
        <v>20</v>
      </c>
      <c r="U8" s="39"/>
      <c r="V8" s="39"/>
      <c r="W8" s="31" t="s">
        <v>13</v>
      </c>
      <c r="X8" s="31" t="s">
        <v>14</v>
      </c>
      <c r="Y8" s="31" t="s">
        <v>15</v>
      </c>
    </row>
    <row r="9" spans="1:25" ht="126.75" customHeight="1" x14ac:dyDescent="0.3">
      <c r="A9" s="43"/>
      <c r="B9" s="39"/>
      <c r="C9" s="39"/>
      <c r="D9" s="39"/>
      <c r="E9" s="32"/>
      <c r="F9" s="32"/>
      <c r="G9" s="32"/>
      <c r="H9" s="21" t="s">
        <v>13</v>
      </c>
      <c r="I9" s="21" t="s">
        <v>14</v>
      </c>
      <c r="J9" s="21" t="s">
        <v>15</v>
      </c>
      <c r="K9" s="21" t="s">
        <v>13</v>
      </c>
      <c r="L9" s="21" t="s">
        <v>14</v>
      </c>
      <c r="M9" s="21" t="s">
        <v>15</v>
      </c>
      <c r="N9" s="32"/>
      <c r="O9" s="32"/>
      <c r="P9" s="32"/>
      <c r="Q9" s="21" t="s">
        <v>13</v>
      </c>
      <c r="R9" s="21" t="s">
        <v>14</v>
      </c>
      <c r="S9" s="21" t="s">
        <v>15</v>
      </c>
      <c r="T9" s="21" t="s">
        <v>13</v>
      </c>
      <c r="U9" s="21" t="s">
        <v>14</v>
      </c>
      <c r="V9" s="21" t="s">
        <v>15</v>
      </c>
      <c r="W9" s="32"/>
      <c r="X9" s="32"/>
      <c r="Y9" s="32"/>
    </row>
    <row r="10" spans="1:25" ht="31.2" x14ac:dyDescent="0.3">
      <c r="A10" s="22">
        <v>1</v>
      </c>
      <c r="B10" s="20" t="s">
        <v>32</v>
      </c>
      <c r="C10" s="20" t="s">
        <v>37</v>
      </c>
      <c r="D10" s="10">
        <v>9</v>
      </c>
      <c r="E10" s="10">
        <v>6</v>
      </c>
      <c r="F10" s="10">
        <v>3</v>
      </c>
      <c r="G10" s="10">
        <v>0</v>
      </c>
      <c r="H10" s="10">
        <v>4</v>
      </c>
      <c r="I10" s="10">
        <v>3</v>
      </c>
      <c r="J10" s="10">
        <v>2</v>
      </c>
      <c r="K10" s="10">
        <v>5</v>
      </c>
      <c r="L10" s="10">
        <v>4</v>
      </c>
      <c r="M10" s="10">
        <v>0</v>
      </c>
      <c r="N10" s="10">
        <v>4</v>
      </c>
      <c r="O10" s="10">
        <v>4</v>
      </c>
      <c r="P10" s="10">
        <v>1</v>
      </c>
      <c r="Q10" s="10">
        <v>3</v>
      </c>
      <c r="R10" s="10">
        <v>4</v>
      </c>
      <c r="S10" s="10">
        <v>2</v>
      </c>
      <c r="T10" s="10">
        <v>4</v>
      </c>
      <c r="U10" s="10">
        <v>4</v>
      </c>
      <c r="V10" s="10">
        <v>1</v>
      </c>
      <c r="W10" s="10">
        <v>4</v>
      </c>
      <c r="X10" s="10">
        <v>4</v>
      </c>
      <c r="Y10" s="10">
        <v>1</v>
      </c>
    </row>
    <row r="11" spans="1:25" x14ac:dyDescent="0.3">
      <c r="A11" s="40" t="s">
        <v>1</v>
      </c>
      <c r="B11" s="41"/>
      <c r="C11" s="42"/>
      <c r="D11" s="12">
        <f t="shared" ref="D11:Y11" si="0">SUM(D10:D10)</f>
        <v>9</v>
      </c>
      <c r="E11" s="10">
        <f t="shared" si="0"/>
        <v>6</v>
      </c>
      <c r="F11" s="10">
        <f t="shared" si="0"/>
        <v>3</v>
      </c>
      <c r="G11" s="10">
        <f t="shared" si="0"/>
        <v>0</v>
      </c>
      <c r="H11" s="10">
        <f t="shared" si="0"/>
        <v>4</v>
      </c>
      <c r="I11" s="10">
        <f t="shared" si="0"/>
        <v>3</v>
      </c>
      <c r="J11" s="10">
        <f t="shared" si="0"/>
        <v>2</v>
      </c>
      <c r="K11" s="10">
        <f t="shared" si="0"/>
        <v>5</v>
      </c>
      <c r="L11" s="10">
        <f t="shared" si="0"/>
        <v>4</v>
      </c>
      <c r="M11" s="10">
        <f t="shared" si="0"/>
        <v>0</v>
      </c>
      <c r="N11" s="10">
        <f t="shared" si="0"/>
        <v>4</v>
      </c>
      <c r="O11" s="10">
        <f t="shared" si="0"/>
        <v>4</v>
      </c>
      <c r="P11" s="10">
        <f t="shared" si="0"/>
        <v>1</v>
      </c>
      <c r="Q11" s="10">
        <f t="shared" si="0"/>
        <v>3</v>
      </c>
      <c r="R11" s="10">
        <f t="shared" si="0"/>
        <v>4</v>
      </c>
      <c r="S11" s="10">
        <f t="shared" si="0"/>
        <v>2</v>
      </c>
      <c r="T11" s="10">
        <f t="shared" si="0"/>
        <v>4</v>
      </c>
      <c r="U11" s="10">
        <f t="shared" si="0"/>
        <v>4</v>
      </c>
      <c r="V11" s="10">
        <f t="shared" si="0"/>
        <v>1</v>
      </c>
      <c r="W11" s="10">
        <f t="shared" si="0"/>
        <v>4</v>
      </c>
      <c r="X11" s="10">
        <f t="shared" si="0"/>
        <v>4</v>
      </c>
      <c r="Y11" s="10">
        <f t="shared" si="0"/>
        <v>1</v>
      </c>
    </row>
    <row r="12" spans="1:25" x14ac:dyDescent="0.3">
      <c r="A12" s="37" t="s">
        <v>10</v>
      </c>
      <c r="B12" s="38"/>
      <c r="C12" s="38"/>
      <c r="D12" s="19">
        <f>D11*100/D11</f>
        <v>100</v>
      </c>
      <c r="E12" s="10">
        <v>55</v>
      </c>
      <c r="F12" s="10">
        <v>40</v>
      </c>
      <c r="G12" s="10">
        <v>5</v>
      </c>
      <c r="H12" s="11">
        <f>H11*100/D11</f>
        <v>44.444444444444443</v>
      </c>
      <c r="I12" s="11">
        <f>I11*100/D11</f>
        <v>33.333333333333336</v>
      </c>
      <c r="J12" s="11">
        <f>J11*100/D11</f>
        <v>22.222222222222221</v>
      </c>
      <c r="K12" s="11">
        <f>K11*100/D11</f>
        <v>55.555555555555557</v>
      </c>
      <c r="L12" s="11">
        <f>L11*100/D11</f>
        <v>44.444444444444443</v>
      </c>
      <c r="M12" s="10">
        <f>M11*100/D11</f>
        <v>0</v>
      </c>
      <c r="N12" s="11">
        <f>N11*100/D11</f>
        <v>44.444444444444443</v>
      </c>
      <c r="O12" s="11">
        <f>O11*100/D11</f>
        <v>44.444444444444443</v>
      </c>
      <c r="P12" s="11">
        <f>P11*100/D11</f>
        <v>11.111111111111111</v>
      </c>
      <c r="Q12" s="11">
        <f>Q11*100/D11</f>
        <v>33.333333333333336</v>
      </c>
      <c r="R12" s="11">
        <f>R11*100/D11</f>
        <v>44.444444444444443</v>
      </c>
      <c r="S12" s="11">
        <f>S11*100/D11</f>
        <v>22.222222222222221</v>
      </c>
      <c r="T12" s="11">
        <f>T11*100/D11</f>
        <v>44.444444444444443</v>
      </c>
      <c r="U12" s="11">
        <f>U11*100/D11</f>
        <v>44.444444444444443</v>
      </c>
      <c r="V12" s="11">
        <f>V11*100/D11</f>
        <v>11.111111111111111</v>
      </c>
      <c r="W12" s="11">
        <f>W11*100/D11</f>
        <v>44.444444444444443</v>
      </c>
      <c r="X12" s="11">
        <f>X11*100/D11</f>
        <v>44.444444444444443</v>
      </c>
      <c r="Y12" s="11">
        <f>Y11*100/D11</f>
        <v>11.111111111111111</v>
      </c>
    </row>
    <row r="15" spans="1:25" x14ac:dyDescent="0.3">
      <c r="A15" s="24" t="s">
        <v>30</v>
      </c>
      <c r="B15" s="3"/>
      <c r="C15" s="3" t="s">
        <v>33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8" ht="17.25" customHeight="1" x14ac:dyDescent="0.3"/>
  </sheetData>
  <mergeCells count="30">
    <mergeCell ref="A12:C12"/>
    <mergeCell ref="W7:Y7"/>
    <mergeCell ref="A11:C11"/>
    <mergeCell ref="A7:A9"/>
    <mergeCell ref="B7:B9"/>
    <mergeCell ref="C7:C9"/>
    <mergeCell ref="D7:D9"/>
    <mergeCell ref="E7:G7"/>
    <mergeCell ref="N7:P7"/>
    <mergeCell ref="H8:J8"/>
    <mergeCell ref="K8:M8"/>
    <mergeCell ref="H7:M7"/>
    <mergeCell ref="Q8:S8"/>
    <mergeCell ref="T8:V8"/>
    <mergeCell ref="Q7:V7"/>
    <mergeCell ref="N8:N9"/>
    <mergeCell ref="Y8:Y9"/>
    <mergeCell ref="E8:E9"/>
    <mergeCell ref="F8:F9"/>
    <mergeCell ref="G8:G9"/>
    <mergeCell ref="N1:O1"/>
    <mergeCell ref="V1:W1"/>
    <mergeCell ref="B3:G3"/>
    <mergeCell ref="I3:O3"/>
    <mergeCell ref="I4:O4"/>
    <mergeCell ref="O8:O9"/>
    <mergeCell ref="P8:P9"/>
    <mergeCell ref="B6:F6"/>
    <mergeCell ref="W8:W9"/>
    <mergeCell ref="X8:X9"/>
  </mergeCells>
  <pageMargins left="0.7" right="0.7" top="0.75" bottom="0.75" header="0.3" footer="0.3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18"/>
  <sheetViews>
    <sheetView topLeftCell="M1" zoomScale="80" zoomScaleNormal="80" workbookViewId="0">
      <selection activeCell="AI10" sqref="AI10:AK10"/>
    </sheetView>
  </sheetViews>
  <sheetFormatPr defaultRowHeight="14.4" x14ac:dyDescent="0.3"/>
  <cols>
    <col min="2" max="3" width="16.109375" customWidth="1"/>
    <col min="4" max="4" width="9.33203125" customWidth="1"/>
    <col min="5" max="5" width="10.88671875" customWidth="1"/>
    <col min="6" max="7" width="9.5546875" customWidth="1"/>
    <col min="8" max="8" width="9.44140625" customWidth="1"/>
    <col min="9" max="9" width="9.109375" customWidth="1"/>
    <col min="10" max="10" width="9.5546875" customWidth="1"/>
    <col min="11" max="11" width="9.44140625" customWidth="1"/>
    <col min="12" max="12" width="9.109375" customWidth="1"/>
    <col min="13" max="13" width="9.44140625" customWidth="1"/>
    <col min="14" max="14" width="10" customWidth="1"/>
    <col min="15" max="16" width="10.44140625" customWidth="1"/>
    <col min="17" max="17" width="9.88671875" customWidth="1"/>
    <col min="18" max="18" width="10.33203125" customWidth="1"/>
    <col min="19" max="19" width="13.109375" customWidth="1"/>
    <col min="20" max="20" width="9.44140625" customWidth="1"/>
    <col min="21" max="21" width="9.6640625" customWidth="1"/>
    <col min="22" max="23" width="9.88671875" customWidth="1"/>
    <col min="24" max="24" width="10.88671875" customWidth="1"/>
    <col min="25" max="25" width="9.88671875" customWidth="1"/>
    <col min="26" max="26" width="10.109375" customWidth="1"/>
    <col min="27" max="27" width="9.88671875" customWidth="1"/>
    <col min="28" max="28" width="10" customWidth="1"/>
    <col min="29" max="29" width="9.88671875" customWidth="1"/>
    <col min="30" max="30" width="9.6640625" customWidth="1"/>
    <col min="31" max="32" width="11" customWidth="1"/>
    <col min="33" max="33" width="10.44140625" customWidth="1"/>
    <col min="34" max="35" width="9.44140625" customWidth="1"/>
    <col min="36" max="36" width="9.5546875" customWidth="1"/>
    <col min="37" max="37" width="9.44140625" customWidth="1"/>
  </cols>
  <sheetData>
    <row r="2" spans="1:37" x14ac:dyDescent="0.3">
      <c r="N2" s="33"/>
      <c r="O2" s="33"/>
      <c r="V2" s="34" t="s">
        <v>16</v>
      </c>
      <c r="W2" s="34"/>
    </row>
    <row r="3" spans="1:37" ht="15.6" x14ac:dyDescent="0.3">
      <c r="B3" s="30" t="s">
        <v>31</v>
      </c>
      <c r="C3" s="29"/>
      <c r="E3" s="29"/>
      <c r="F3" s="29"/>
      <c r="I3" s="29" t="s">
        <v>35</v>
      </c>
      <c r="J3" s="29"/>
      <c r="K3" s="29"/>
      <c r="L3" s="29"/>
      <c r="M3" s="29"/>
      <c r="N3" s="29"/>
      <c r="O3" s="29"/>
    </row>
    <row r="4" spans="1:37" ht="15.6" x14ac:dyDescent="0.3">
      <c r="A4" s="3"/>
      <c r="B4" s="35" t="s">
        <v>34</v>
      </c>
      <c r="C4" s="35"/>
      <c r="D4" s="35"/>
      <c r="E4" s="35"/>
      <c r="F4" s="35"/>
      <c r="G4" s="35"/>
      <c r="H4" s="29"/>
      <c r="I4" s="36" t="s">
        <v>36</v>
      </c>
      <c r="J4" s="36"/>
      <c r="K4" s="36"/>
      <c r="L4" s="36"/>
      <c r="M4" s="36"/>
      <c r="N4" s="36"/>
      <c r="O4" s="36"/>
      <c r="P4" s="3"/>
      <c r="Q4" s="3"/>
    </row>
    <row r="5" spans="1:37" ht="15.6" x14ac:dyDescent="0.3">
      <c r="C5" s="7"/>
      <c r="E5" s="3"/>
      <c r="F5" s="3"/>
      <c r="I5" s="36" t="s">
        <v>29</v>
      </c>
      <c r="J5" s="36"/>
      <c r="K5" s="36"/>
      <c r="L5" s="36"/>
      <c r="M5" s="36"/>
      <c r="N5" s="36"/>
      <c r="O5" s="36"/>
      <c r="P5" s="3"/>
      <c r="Q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3" t="s">
        <v>0</v>
      </c>
      <c r="B7" s="39" t="s">
        <v>2</v>
      </c>
      <c r="C7" s="39" t="s">
        <v>3</v>
      </c>
      <c r="D7" s="39" t="s">
        <v>9</v>
      </c>
      <c r="E7" s="39" t="s">
        <v>4</v>
      </c>
      <c r="F7" s="39"/>
      <c r="G7" s="39"/>
      <c r="H7" s="44" t="s">
        <v>7</v>
      </c>
      <c r="I7" s="45"/>
      <c r="J7" s="45"/>
      <c r="K7" s="45"/>
      <c r="L7" s="45"/>
      <c r="M7" s="45"/>
      <c r="N7" s="45"/>
      <c r="O7" s="45"/>
      <c r="P7" s="46"/>
      <c r="Q7" s="39" t="s">
        <v>5</v>
      </c>
      <c r="R7" s="39"/>
      <c r="S7" s="39"/>
      <c r="T7" s="44" t="s">
        <v>8</v>
      </c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6"/>
      <c r="AI7" s="39" t="s">
        <v>6</v>
      </c>
      <c r="AJ7" s="39"/>
      <c r="AK7" s="39"/>
    </row>
    <row r="8" spans="1:37" ht="15.75" customHeight="1" x14ac:dyDescent="0.3">
      <c r="A8" s="43"/>
      <c r="B8" s="39"/>
      <c r="C8" s="39"/>
      <c r="D8" s="39"/>
      <c r="E8" s="31" t="s">
        <v>13</v>
      </c>
      <c r="F8" s="31" t="s">
        <v>14</v>
      </c>
      <c r="G8" s="31" t="s">
        <v>15</v>
      </c>
      <c r="H8" s="47" t="s">
        <v>17</v>
      </c>
      <c r="I8" s="47"/>
      <c r="J8" s="47"/>
      <c r="K8" s="39" t="s">
        <v>18</v>
      </c>
      <c r="L8" s="39"/>
      <c r="M8" s="39"/>
      <c r="N8" s="43" t="s">
        <v>21</v>
      </c>
      <c r="O8" s="43"/>
      <c r="P8" s="43"/>
      <c r="Q8" s="31" t="s">
        <v>13</v>
      </c>
      <c r="R8" s="31" t="s">
        <v>14</v>
      </c>
      <c r="S8" s="31" t="s">
        <v>15</v>
      </c>
      <c r="T8" s="47" t="s">
        <v>22</v>
      </c>
      <c r="U8" s="47"/>
      <c r="V8" s="47"/>
      <c r="W8" s="47" t="s">
        <v>19</v>
      </c>
      <c r="X8" s="47"/>
      <c r="Y8" s="47"/>
      <c r="Z8" s="43" t="s">
        <v>23</v>
      </c>
      <c r="AA8" s="43"/>
      <c r="AB8" s="43"/>
      <c r="AC8" s="43" t="s">
        <v>24</v>
      </c>
      <c r="AD8" s="43"/>
      <c r="AE8" s="43"/>
      <c r="AF8" s="49" t="s">
        <v>20</v>
      </c>
      <c r="AG8" s="49"/>
      <c r="AH8" s="50"/>
      <c r="AI8" s="31" t="s">
        <v>13</v>
      </c>
      <c r="AJ8" s="31" t="s">
        <v>14</v>
      </c>
      <c r="AK8" s="31" t="s">
        <v>15</v>
      </c>
    </row>
    <row r="9" spans="1:37" ht="114.75" customHeight="1" x14ac:dyDescent="0.3">
      <c r="A9" s="43"/>
      <c r="B9" s="39"/>
      <c r="C9" s="39"/>
      <c r="D9" s="39"/>
      <c r="E9" s="32"/>
      <c r="F9" s="32"/>
      <c r="G9" s="32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32"/>
      <c r="R9" s="32"/>
      <c r="S9" s="32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32"/>
      <c r="AJ9" s="32"/>
      <c r="AK9" s="32"/>
    </row>
    <row r="10" spans="1:37" ht="46.8" x14ac:dyDescent="0.3">
      <c r="A10" s="5">
        <v>1</v>
      </c>
      <c r="B10" s="20" t="s">
        <v>38</v>
      </c>
      <c r="C10" s="20" t="s">
        <v>39</v>
      </c>
      <c r="D10" s="10">
        <v>8</v>
      </c>
      <c r="E10" s="10">
        <v>3</v>
      </c>
      <c r="F10" s="10">
        <v>3</v>
      </c>
      <c r="G10" s="10">
        <v>2</v>
      </c>
      <c r="H10" s="10">
        <v>2</v>
      </c>
      <c r="I10" s="10">
        <v>5</v>
      </c>
      <c r="J10" s="10">
        <v>1</v>
      </c>
      <c r="K10" s="10">
        <v>4</v>
      </c>
      <c r="L10" s="10">
        <v>2</v>
      </c>
      <c r="M10" s="10">
        <v>2</v>
      </c>
      <c r="N10" s="10">
        <v>3</v>
      </c>
      <c r="O10" s="10">
        <v>3</v>
      </c>
      <c r="P10" s="10">
        <v>2</v>
      </c>
      <c r="Q10" s="10">
        <v>2</v>
      </c>
      <c r="R10" s="10">
        <v>5</v>
      </c>
      <c r="S10" s="10">
        <v>1</v>
      </c>
      <c r="T10" s="10">
        <v>4</v>
      </c>
      <c r="U10" s="10">
        <v>2</v>
      </c>
      <c r="V10" s="10">
        <v>2</v>
      </c>
      <c r="W10" s="10">
        <v>3</v>
      </c>
      <c r="X10" s="10">
        <v>4</v>
      </c>
      <c r="Y10" s="10">
        <v>1</v>
      </c>
      <c r="Z10" s="10">
        <v>2</v>
      </c>
      <c r="AA10" s="10">
        <v>4</v>
      </c>
      <c r="AB10" s="10">
        <v>2</v>
      </c>
      <c r="AC10" s="10">
        <v>3</v>
      </c>
      <c r="AD10" s="10">
        <v>4</v>
      </c>
      <c r="AE10" s="10">
        <v>1</v>
      </c>
      <c r="AF10" s="10">
        <v>2</v>
      </c>
      <c r="AG10" s="10">
        <v>4</v>
      </c>
      <c r="AH10" s="10">
        <v>2</v>
      </c>
      <c r="AI10" s="10">
        <v>3</v>
      </c>
      <c r="AJ10" s="10">
        <v>4</v>
      </c>
      <c r="AK10" s="10">
        <v>1</v>
      </c>
    </row>
    <row r="11" spans="1:37" ht="15.6" x14ac:dyDescent="0.3">
      <c r="A11" s="40" t="s">
        <v>1</v>
      </c>
      <c r="B11" s="41"/>
      <c r="C11" s="42"/>
      <c r="D11" s="12">
        <f t="shared" ref="D11:AK11" si="0">SUM(D10:D10)</f>
        <v>8</v>
      </c>
      <c r="E11" s="10">
        <f t="shared" si="0"/>
        <v>3</v>
      </c>
      <c r="F11" s="10">
        <f t="shared" si="0"/>
        <v>3</v>
      </c>
      <c r="G11" s="10">
        <f t="shared" si="0"/>
        <v>2</v>
      </c>
      <c r="H11" s="10">
        <f t="shared" si="0"/>
        <v>2</v>
      </c>
      <c r="I11" s="10">
        <f t="shared" si="0"/>
        <v>5</v>
      </c>
      <c r="J11" s="10">
        <f t="shared" si="0"/>
        <v>1</v>
      </c>
      <c r="K11" s="10">
        <f t="shared" si="0"/>
        <v>4</v>
      </c>
      <c r="L11" s="10">
        <f t="shared" si="0"/>
        <v>2</v>
      </c>
      <c r="M11" s="10">
        <f t="shared" si="0"/>
        <v>2</v>
      </c>
      <c r="N11" s="10">
        <f t="shared" si="0"/>
        <v>3</v>
      </c>
      <c r="O11" s="10">
        <f t="shared" si="0"/>
        <v>3</v>
      </c>
      <c r="P11" s="10">
        <f t="shared" si="0"/>
        <v>2</v>
      </c>
      <c r="Q11" s="10">
        <f t="shared" si="0"/>
        <v>2</v>
      </c>
      <c r="R11" s="10">
        <f t="shared" si="0"/>
        <v>5</v>
      </c>
      <c r="S11" s="10">
        <f t="shared" si="0"/>
        <v>1</v>
      </c>
      <c r="T11" s="10">
        <f t="shared" si="0"/>
        <v>4</v>
      </c>
      <c r="U11" s="10">
        <f t="shared" si="0"/>
        <v>2</v>
      </c>
      <c r="V11" s="10">
        <f t="shared" si="0"/>
        <v>2</v>
      </c>
      <c r="W11" s="10">
        <f t="shared" si="0"/>
        <v>3</v>
      </c>
      <c r="X11" s="10">
        <f t="shared" si="0"/>
        <v>4</v>
      </c>
      <c r="Y11" s="10">
        <f t="shared" si="0"/>
        <v>1</v>
      </c>
      <c r="Z11" s="10">
        <f t="shared" si="0"/>
        <v>2</v>
      </c>
      <c r="AA11" s="10">
        <f t="shared" si="0"/>
        <v>4</v>
      </c>
      <c r="AB11" s="10">
        <f t="shared" si="0"/>
        <v>2</v>
      </c>
      <c r="AC11" s="10">
        <f t="shared" si="0"/>
        <v>3</v>
      </c>
      <c r="AD11" s="10">
        <f t="shared" si="0"/>
        <v>4</v>
      </c>
      <c r="AE11" s="10">
        <f t="shared" si="0"/>
        <v>1</v>
      </c>
      <c r="AF11" s="10">
        <f t="shared" si="0"/>
        <v>2</v>
      </c>
      <c r="AG11" s="10">
        <f t="shared" si="0"/>
        <v>4</v>
      </c>
      <c r="AH11" s="10">
        <f t="shared" si="0"/>
        <v>2</v>
      </c>
      <c r="AI11" s="10">
        <f t="shared" si="0"/>
        <v>3</v>
      </c>
      <c r="AJ11" s="10">
        <f t="shared" si="0"/>
        <v>4</v>
      </c>
      <c r="AK11" s="10">
        <f t="shared" si="0"/>
        <v>1</v>
      </c>
    </row>
    <row r="12" spans="1:37" ht="15.6" x14ac:dyDescent="0.3">
      <c r="A12" s="48" t="s">
        <v>10</v>
      </c>
      <c r="B12" s="48"/>
      <c r="C12" s="48"/>
      <c r="D12" s="14">
        <f>D11*100/D11</f>
        <v>100</v>
      </c>
      <c r="E12" s="11">
        <f>E11*100/D11</f>
        <v>37.5</v>
      </c>
      <c r="F12" s="11">
        <f>F11*100/D11</f>
        <v>37.5</v>
      </c>
      <c r="G12" s="11">
        <f>G11*100/D11</f>
        <v>25</v>
      </c>
      <c r="H12" s="11">
        <f>H11*100/D11</f>
        <v>25</v>
      </c>
      <c r="I12" s="11">
        <f>I11*100/D11</f>
        <v>62.5</v>
      </c>
      <c r="J12" s="11">
        <f>J11*100/D11</f>
        <v>12.5</v>
      </c>
      <c r="K12" s="11">
        <f>K11*100/D11</f>
        <v>50</v>
      </c>
      <c r="L12" s="11">
        <f>L11*100/D11</f>
        <v>25</v>
      </c>
      <c r="M12" s="11">
        <f>M11*100/D11</f>
        <v>25</v>
      </c>
      <c r="N12" s="11">
        <f>N11*100/D11</f>
        <v>37.5</v>
      </c>
      <c r="O12" s="11">
        <f>O11*100/D11</f>
        <v>37.5</v>
      </c>
      <c r="P12" s="11">
        <f>P11*100/D11</f>
        <v>25</v>
      </c>
      <c r="Q12" s="11">
        <f>Q11*100/D11</f>
        <v>25</v>
      </c>
      <c r="R12" s="11">
        <f>R11*100/D11</f>
        <v>62.5</v>
      </c>
      <c r="S12" s="11">
        <f>S11*100/D11</f>
        <v>12.5</v>
      </c>
      <c r="T12" s="11">
        <f>T11*100/D11</f>
        <v>50</v>
      </c>
      <c r="U12" s="11">
        <f>U11*100/D11</f>
        <v>25</v>
      </c>
      <c r="V12" s="11">
        <f>V11*100/D11</f>
        <v>25</v>
      </c>
      <c r="W12" s="11">
        <f>W11*100/D11</f>
        <v>37.5</v>
      </c>
      <c r="X12" s="11">
        <f>X11*100/D11</f>
        <v>50</v>
      </c>
      <c r="Y12" s="11">
        <f>Y11*100/D11</f>
        <v>12.5</v>
      </c>
      <c r="Z12" s="11">
        <f>Z11*100/D11</f>
        <v>25</v>
      </c>
      <c r="AA12" s="11">
        <f>AA11*100/D11</f>
        <v>50</v>
      </c>
      <c r="AB12" s="11">
        <f>AB11*100/D11</f>
        <v>25</v>
      </c>
      <c r="AC12" s="11">
        <f>AC11*100/D11</f>
        <v>37.5</v>
      </c>
      <c r="AD12" s="11">
        <f>AD11*100/D11</f>
        <v>50</v>
      </c>
      <c r="AE12" s="11">
        <f>AE11*100/D11</f>
        <v>12.5</v>
      </c>
      <c r="AF12" s="11">
        <f>AF11*100/D11</f>
        <v>25</v>
      </c>
      <c r="AG12" s="11">
        <f>AG11*100/D11</f>
        <v>50</v>
      </c>
      <c r="AH12" s="11">
        <f>AH11*100/D11</f>
        <v>25</v>
      </c>
      <c r="AI12" s="11">
        <f>AI11*100/D11</f>
        <v>37.5</v>
      </c>
      <c r="AJ12" s="11">
        <f>AJ11*100/D11</f>
        <v>50</v>
      </c>
      <c r="AK12" s="11">
        <f>AK11*100/D11</f>
        <v>12.5</v>
      </c>
    </row>
    <row r="16" spans="1:37" ht="15.6" x14ac:dyDescent="0.3">
      <c r="A16" s="24" t="s">
        <v>30</v>
      </c>
      <c r="B16" s="3"/>
      <c r="C16" s="3" t="s">
        <v>33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8" ht="21.75" customHeight="1" x14ac:dyDescent="0.3"/>
  </sheetData>
  <mergeCells count="33">
    <mergeCell ref="N2:O2"/>
    <mergeCell ref="V2:W2"/>
    <mergeCell ref="AJ8:AJ9"/>
    <mergeCell ref="AK8:AK9"/>
    <mergeCell ref="S8:S9"/>
    <mergeCell ref="Q7:S7"/>
    <mergeCell ref="AI7:AK7"/>
    <mergeCell ref="T8:V8"/>
    <mergeCell ref="W8:Y8"/>
    <mergeCell ref="H7:P7"/>
    <mergeCell ref="AF8:AH8"/>
    <mergeCell ref="AI8:AI9"/>
    <mergeCell ref="A12:C12"/>
    <mergeCell ref="A11:C11"/>
    <mergeCell ref="A7:A9"/>
    <mergeCell ref="B7:B9"/>
    <mergeCell ref="C7:C9"/>
    <mergeCell ref="B4:G4"/>
    <mergeCell ref="I4:O4"/>
    <mergeCell ref="I5:O5"/>
    <mergeCell ref="Z8:AB8"/>
    <mergeCell ref="AC8:AE8"/>
    <mergeCell ref="D7:D9"/>
    <mergeCell ref="E7:G7"/>
    <mergeCell ref="G8:G9"/>
    <mergeCell ref="F8:F9"/>
    <mergeCell ref="E8:E9"/>
    <mergeCell ref="H8:J8"/>
    <mergeCell ref="K8:M8"/>
    <mergeCell ref="N8:P8"/>
    <mergeCell ref="T7:AH7"/>
    <mergeCell ref="Q8:Q9"/>
    <mergeCell ref="R8:R9"/>
  </mergeCells>
  <pageMargins left="0.7" right="0.7" top="0.75" bottom="0.75" header="0.3" footer="0.3"/>
  <pageSetup paperSize="9" scale="6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topLeftCell="B1" workbookViewId="0">
      <selection activeCell="R18" sqref="R18"/>
    </sheetView>
  </sheetViews>
  <sheetFormatPr defaultRowHeight="14.4" x14ac:dyDescent="0.3"/>
  <cols>
    <col min="1" max="1" width="19.33203125" customWidth="1"/>
    <col min="2" max="2" width="9.5546875" bestFit="1" customWidth="1"/>
    <col min="3" max="17" width="9.33203125" bestFit="1" customWidth="1"/>
  </cols>
  <sheetData>
    <row r="1" spans="1:23" x14ac:dyDescent="0.3">
      <c r="N1" s="33"/>
      <c r="O1" s="33"/>
      <c r="V1" s="34" t="s">
        <v>16</v>
      </c>
      <c r="W1" s="34"/>
    </row>
    <row r="2" spans="1:23" ht="15.6" x14ac:dyDescent="0.3">
      <c r="B2" s="6" t="s">
        <v>31</v>
      </c>
      <c r="C2" s="2"/>
      <c r="E2" s="2"/>
      <c r="F2" s="2"/>
      <c r="I2" s="26" t="s">
        <v>35</v>
      </c>
      <c r="J2" s="26"/>
      <c r="K2" s="26"/>
      <c r="L2" s="26"/>
      <c r="M2" s="26"/>
      <c r="N2" s="26"/>
      <c r="O2" s="26"/>
    </row>
    <row r="3" spans="1:23" ht="15.6" x14ac:dyDescent="0.3">
      <c r="A3" s="3"/>
      <c r="B3" s="35" t="s">
        <v>34</v>
      </c>
      <c r="C3" s="35"/>
      <c r="D3" s="35"/>
      <c r="E3" s="35"/>
      <c r="F3" s="35"/>
      <c r="G3" s="35"/>
      <c r="H3" s="2"/>
      <c r="I3" s="36" t="s">
        <v>36</v>
      </c>
      <c r="J3" s="36"/>
      <c r="K3" s="36"/>
      <c r="L3" s="36"/>
      <c r="M3" s="36"/>
      <c r="N3" s="36"/>
      <c r="O3" s="36"/>
      <c r="P3" s="3"/>
      <c r="Q3" s="3"/>
    </row>
    <row r="4" spans="1:23" ht="15.6" x14ac:dyDescent="0.3">
      <c r="C4" s="7"/>
      <c r="E4" s="3"/>
      <c r="F4" s="3"/>
      <c r="I4" s="36" t="s">
        <v>29</v>
      </c>
      <c r="J4" s="36"/>
      <c r="K4" s="36"/>
      <c r="L4" s="36"/>
      <c r="M4" s="36"/>
      <c r="N4" s="36"/>
      <c r="O4" s="36"/>
      <c r="P4" s="3"/>
      <c r="Q4" s="3"/>
    </row>
    <row r="5" spans="1:23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6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15.75" customHeight="1" x14ac:dyDescent="0.3">
      <c r="A7" s="31" t="s">
        <v>28</v>
      </c>
      <c r="B7" s="39" t="s">
        <v>12</v>
      </c>
      <c r="C7" s="39" t="s">
        <v>4</v>
      </c>
      <c r="D7" s="39"/>
      <c r="E7" s="39"/>
      <c r="F7" s="39" t="s">
        <v>7</v>
      </c>
      <c r="G7" s="39"/>
      <c r="H7" s="39"/>
      <c r="I7" s="39" t="s">
        <v>5</v>
      </c>
      <c r="J7" s="39"/>
      <c r="K7" s="39"/>
      <c r="L7" s="39" t="s">
        <v>8</v>
      </c>
      <c r="M7" s="39"/>
      <c r="N7" s="39"/>
      <c r="O7" s="39" t="s">
        <v>6</v>
      </c>
      <c r="P7" s="39"/>
      <c r="Q7" s="39"/>
      <c r="R7" s="43" t="s">
        <v>27</v>
      </c>
      <c r="S7" s="43"/>
      <c r="T7" s="43"/>
      <c r="U7" s="43"/>
      <c r="V7" s="43"/>
      <c r="W7" s="43"/>
    </row>
    <row r="8" spans="1:23" ht="78" x14ac:dyDescent="0.3">
      <c r="A8" s="32"/>
      <c r="B8" s="39"/>
      <c r="C8" s="1" t="s">
        <v>13</v>
      </c>
      <c r="D8" s="1" t="s">
        <v>14</v>
      </c>
      <c r="E8" s="1" t="s">
        <v>15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10</v>
      </c>
      <c r="T8" s="1" t="s">
        <v>14</v>
      </c>
      <c r="U8" s="17" t="s">
        <v>10</v>
      </c>
      <c r="V8" s="1" t="s">
        <v>15</v>
      </c>
      <c r="W8" s="1" t="s">
        <v>10</v>
      </c>
    </row>
    <row r="9" spans="1:23" ht="15.6" x14ac:dyDescent="0.3">
      <c r="A9" s="15" t="s">
        <v>25</v>
      </c>
      <c r="B9" s="10">
        <v>9</v>
      </c>
      <c r="C9" s="10">
        <v>6</v>
      </c>
      <c r="D9" s="10">
        <v>3</v>
      </c>
      <c r="E9" s="10">
        <v>0</v>
      </c>
      <c r="F9" s="10">
        <v>4</v>
      </c>
      <c r="G9" s="10">
        <v>3</v>
      </c>
      <c r="H9" s="10">
        <v>2</v>
      </c>
      <c r="I9" s="10">
        <v>5</v>
      </c>
      <c r="J9" s="10">
        <v>4</v>
      </c>
      <c r="K9" s="10">
        <v>0</v>
      </c>
      <c r="L9" s="10">
        <v>4</v>
      </c>
      <c r="M9" s="10">
        <v>4</v>
      </c>
      <c r="N9" s="10">
        <v>1</v>
      </c>
      <c r="O9" s="10">
        <v>3</v>
      </c>
      <c r="P9" s="10">
        <v>4</v>
      </c>
      <c r="Q9" s="10">
        <v>2</v>
      </c>
      <c r="R9" s="10">
        <v>4</v>
      </c>
      <c r="S9" s="10">
        <v>4</v>
      </c>
      <c r="T9" s="10">
        <v>1</v>
      </c>
      <c r="U9" s="51">
        <v>4</v>
      </c>
      <c r="V9" s="10">
        <v>4</v>
      </c>
      <c r="W9" s="51">
        <v>1</v>
      </c>
    </row>
    <row r="10" spans="1:23" ht="15.6" x14ac:dyDescent="0.3">
      <c r="A10" s="15" t="s">
        <v>26</v>
      </c>
      <c r="B10" s="10">
        <v>8</v>
      </c>
      <c r="C10" s="10">
        <v>3</v>
      </c>
      <c r="D10" s="10">
        <v>3</v>
      </c>
      <c r="E10" s="10">
        <v>2</v>
      </c>
      <c r="F10" s="10">
        <v>2</v>
      </c>
      <c r="G10" s="10">
        <v>5</v>
      </c>
      <c r="H10" s="10">
        <v>1</v>
      </c>
      <c r="I10" s="10">
        <v>4</v>
      </c>
      <c r="J10" s="10">
        <v>2</v>
      </c>
      <c r="K10" s="10">
        <v>2</v>
      </c>
      <c r="L10" s="10">
        <v>3</v>
      </c>
      <c r="M10" s="10">
        <v>3</v>
      </c>
      <c r="N10" s="10">
        <v>2</v>
      </c>
      <c r="O10" s="10">
        <v>3</v>
      </c>
      <c r="P10" s="10">
        <v>4</v>
      </c>
      <c r="Q10" s="10">
        <v>1</v>
      </c>
      <c r="R10" s="10">
        <v>4</v>
      </c>
      <c r="S10" s="10">
        <v>2</v>
      </c>
      <c r="T10" s="10">
        <v>2</v>
      </c>
      <c r="U10" s="52">
        <f t="shared" ref="U10:U11" si="0">T10*100/B10</f>
        <v>25</v>
      </c>
      <c r="V10" s="28">
        <f>(E10+H10+K10+N10+Q10)/5</f>
        <v>1.6</v>
      </c>
      <c r="W10" s="53">
        <f t="shared" ref="W10:W11" si="1">V10*100/B10</f>
        <v>20</v>
      </c>
    </row>
    <row r="11" spans="1:23" ht="15.6" x14ac:dyDescent="0.3">
      <c r="A11" s="12" t="s">
        <v>1</v>
      </c>
      <c r="B11" s="12">
        <f>SUM(B8:B10)</f>
        <v>17</v>
      </c>
      <c r="C11" s="10">
        <f t="shared" ref="C11:Q11" si="2">SUM(C9:C10)</f>
        <v>9</v>
      </c>
      <c r="D11" s="10">
        <f t="shared" si="2"/>
        <v>6</v>
      </c>
      <c r="E11" s="10">
        <f t="shared" si="2"/>
        <v>2</v>
      </c>
      <c r="F11" s="10">
        <f t="shared" si="2"/>
        <v>6</v>
      </c>
      <c r="G11" s="10">
        <f t="shared" si="2"/>
        <v>8</v>
      </c>
      <c r="H11" s="10">
        <f t="shared" si="2"/>
        <v>3</v>
      </c>
      <c r="I11" s="10">
        <f t="shared" si="2"/>
        <v>9</v>
      </c>
      <c r="J11" s="10">
        <f t="shared" si="2"/>
        <v>6</v>
      </c>
      <c r="K11" s="10">
        <f t="shared" si="2"/>
        <v>2</v>
      </c>
      <c r="L11" s="10">
        <f t="shared" si="2"/>
        <v>7</v>
      </c>
      <c r="M11" s="10">
        <f t="shared" si="2"/>
        <v>7</v>
      </c>
      <c r="N11" s="10">
        <f t="shared" si="2"/>
        <v>3</v>
      </c>
      <c r="O11" s="10">
        <f t="shared" si="2"/>
        <v>6</v>
      </c>
      <c r="P11" s="10">
        <f t="shared" si="2"/>
        <v>8</v>
      </c>
      <c r="Q11" s="10">
        <f t="shared" si="2"/>
        <v>3</v>
      </c>
      <c r="R11" s="27">
        <f t="shared" ref="R11" si="3">(C11+F11+I11+L11+O11)/5</f>
        <v>7.4</v>
      </c>
      <c r="S11" s="27">
        <f t="shared" ref="S10:S11" si="4">R11*100/B11</f>
        <v>43.529411764705884</v>
      </c>
      <c r="T11" s="27">
        <f t="shared" ref="T10:T11" si="5">(D11+G11+J11+M11+P11)/5</f>
        <v>7</v>
      </c>
      <c r="U11" s="53">
        <f t="shared" si="0"/>
        <v>41.176470588235297</v>
      </c>
      <c r="V11" s="28">
        <f>(E11+H11+K11+N11+Q11)/6</f>
        <v>2.1666666666666665</v>
      </c>
      <c r="W11" s="53">
        <f t="shared" si="1"/>
        <v>12.745098039215685</v>
      </c>
    </row>
    <row r="12" spans="1:23" ht="17.25" customHeight="1" x14ac:dyDescent="0.3">
      <c r="A12" s="18" t="s">
        <v>11</v>
      </c>
      <c r="B12" s="13">
        <f>B11*100/B11</f>
        <v>100</v>
      </c>
      <c r="C12" s="11">
        <f>C11*100/B11</f>
        <v>52.941176470588232</v>
      </c>
      <c r="D12" s="11">
        <f>D11*100/B11</f>
        <v>35.294117647058826</v>
      </c>
      <c r="E12" s="11">
        <f>E11*100/B11</f>
        <v>11.764705882352942</v>
      </c>
      <c r="F12" s="11">
        <f>F11*100/B11</f>
        <v>35.294117647058826</v>
      </c>
      <c r="G12" s="11">
        <f>G11*100/B11</f>
        <v>47.058823529411768</v>
      </c>
      <c r="H12" s="11">
        <f>H11*100/B11</f>
        <v>17.647058823529413</v>
      </c>
      <c r="I12" s="11">
        <f>I11*100/B11</f>
        <v>52.941176470588232</v>
      </c>
      <c r="J12" s="11">
        <f>J11*100/B11</f>
        <v>35.294117647058826</v>
      </c>
      <c r="K12" s="11">
        <f>K11*100/B11</f>
        <v>11.764705882352942</v>
      </c>
      <c r="L12" s="11">
        <f>L11*100/B11</f>
        <v>41.176470588235297</v>
      </c>
      <c r="M12" s="11">
        <f>M11*100/B11</f>
        <v>41.176470588235297</v>
      </c>
      <c r="N12" s="11">
        <f>N11*100/B11</f>
        <v>17.647058823529413</v>
      </c>
      <c r="O12" s="11">
        <f>O11*100/B11</f>
        <v>35.294117647058826</v>
      </c>
      <c r="P12" s="11">
        <f>P11*100/B11</f>
        <v>47.058823529411768</v>
      </c>
      <c r="Q12" s="11">
        <f>Q11*100/B11</f>
        <v>17.647058823529413</v>
      </c>
      <c r="R12" s="16"/>
      <c r="S12" s="16"/>
      <c r="T12" s="16"/>
      <c r="U12" s="16"/>
      <c r="V12" s="16"/>
      <c r="W12" s="16"/>
    </row>
    <row r="13" spans="1:23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3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3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6" x14ac:dyDescent="0.3">
      <c r="A16" s="24" t="s">
        <v>30</v>
      </c>
      <c r="B16" s="3"/>
      <c r="C16" s="3"/>
      <c r="D16" s="3" t="s">
        <v>33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5.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6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6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6" x14ac:dyDescent="0.3">
      <c r="A30" s="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</sheetData>
  <mergeCells count="13">
    <mergeCell ref="R7:W7"/>
    <mergeCell ref="N1:O1"/>
    <mergeCell ref="O7:Q7"/>
    <mergeCell ref="A7:A8"/>
    <mergeCell ref="B7:B8"/>
    <mergeCell ref="C7:E7"/>
    <mergeCell ref="F7:H7"/>
    <mergeCell ref="I7:K7"/>
    <mergeCell ref="L7:N7"/>
    <mergeCell ref="B3:G3"/>
    <mergeCell ref="V1:W1"/>
    <mergeCell ref="I3:O3"/>
    <mergeCell ref="I4:O4"/>
  </mergeCells>
  <phoneticPr fontId="3" type="noConversion"/>
  <pageMargins left="0.7" right="0.7" top="0.75" bottom="0.75" header="0.3" footer="0.3"/>
  <pageSetup paperSize="9" scale="5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кіші топ</vt:lpstr>
      <vt:lpstr>ересек топ</vt:lpstr>
      <vt:lpstr>МДҰ әдіскерінің жинағы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cp:lastPrinted>2024-11-17T12:43:54Z</cp:lastPrinted>
  <dcterms:created xsi:type="dcterms:W3CDTF">2022-12-22T06:57:03Z</dcterms:created>
  <dcterms:modified xsi:type="dcterms:W3CDTF">2026-07-27T04:44:41Z</dcterms:modified>
</cp:coreProperties>
</file>